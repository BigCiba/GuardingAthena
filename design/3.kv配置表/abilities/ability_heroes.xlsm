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0957F71-98B7-4E5C-B2D1-07D093143C6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101" i="10"/>
  <c r="D99" i="10"/>
  <c r="D97" i="10"/>
  <c r="D95" i="10"/>
  <c r="D93" i="10"/>
  <c r="D91" i="10"/>
  <c r="D89" i="10"/>
  <c r="D87" i="10"/>
  <c r="D85" i="10"/>
  <c r="D83" i="10"/>
  <c r="D81" i="10"/>
  <c r="D79" i="10"/>
  <c r="D77" i="10"/>
  <c r="D75" i="10"/>
  <c r="D73" i="10"/>
  <c r="D69" i="10"/>
  <c r="D67" i="10"/>
  <c r="D65" i="10"/>
  <c r="D63" i="10"/>
  <c r="D61" i="10"/>
  <c r="D57" i="10"/>
  <c r="D55" i="10"/>
  <c r="D53" i="10"/>
  <c r="D51" i="10"/>
  <c r="D49" i="10"/>
  <c r="D47" i="10"/>
  <c r="D45" i="10"/>
  <c r="D43" i="10"/>
  <c r="D41" i="10"/>
  <c r="D39" i="10"/>
  <c r="D21" i="10"/>
  <c r="D19" i="10"/>
  <c r="D17" i="10"/>
  <c r="D15" i="10"/>
  <c r="D13" i="10"/>
  <c r="D11" i="10"/>
  <c r="D9" i="10"/>
  <c r="D7" i="10"/>
  <c r="D5" i="10"/>
  <c r="D3" i="10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<sst xmlns="http://schemas.openxmlformats.org/spreadsheetml/2006/main" count="2269" uniqueCount="648">
  <si>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</si>
  <si>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</si>
  <si>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</si>
  <si>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</si>
  <si>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</si>
  <si>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</si>
  <si>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</si>
  <si>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</si>
  <si>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</si>
  <si>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</si>
  <si>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</si>
  <si>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</si>
  <si>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</si>
  <si>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</si>
  <si>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</si>
  <si>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</si>
  <si>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</si>
  <si>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</si>
  <si>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</si>
  <si>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</si>
  <si>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</si>
  <si>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</si>
  <si>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</si>
  <si>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</si>
  <si>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</si>
  <si>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</si>
  <si>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</si>
  <si>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</si>
  <si>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</si>
  <si>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</si>
  <si>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</si>
  <si>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</si>
  <si>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</si>
  <si>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</si>
  <si>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</si>
  <si>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</si>
  <si>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</si>
  <si>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</si>
  <si>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</si>
  <si>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</si>
  <si>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</si>
  <si>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</si>
  <si>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</si>
  <si>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</si>
  <si>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</si>
  <si>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</si>
  <si>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</si>
  <si>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</si>
  <si>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</si>
  <si>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</si>
  <si>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</si>
  <si>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</si>
  <si>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</si>
  <si>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</si>
  <si>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</si>
  <si>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</si>
  <si>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</si>
  <si>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</si>
  <si>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</si>
  <si>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</si>
  <si>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</si>
  <si>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</si>
  <si>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</si>
  <si>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</si>
  <si>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</si>
  <si>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</si>
  <si>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</si>
  <si>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</si>
  <si>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</si>
  <si>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</si>
  <si>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</si>
  <si>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</si>
  <si>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</si>
  <si>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</si>
  <si>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</si>
  <si>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</si>
  <si>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</si>
  <si>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</si>
  <si>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</si>
  <si>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</si>
  <si>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</si>
  <si>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</si>
  <si>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</si>
  <si>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</si>
  <si>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</si>
  <si>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</si>
  <si>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</si>
  <si>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</si>
  <si>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</si>
  <si>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</si>
  <si>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</si>
  <si>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</si>
  <si>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</si>
  <si>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</si>
  <si>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</si>
  <si>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</si>
  <si>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</si>
  <si>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</si>
  <si>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</si>
  <si>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</si>
  <si>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</si>
  <si>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</si>
  <si>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</si>
  <si>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</si>
  <si>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</si>
  <si>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</si>
  <si>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</si>
  <si>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</si>
  <si>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</si>
  <si>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</si>
  <si>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</si>
  <si>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</si>
  <si>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</si>
  <si>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</si>
  <si>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</si>
  <si>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</si>
  <si>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</si>
  <si>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</si>
  <si>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</si>
  <si>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</si>
  <si>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</si>
  <si>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</si>
  <si>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</si>
  <si>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</si>
  <si>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</si>
  <si>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</si>
  <si>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</si>
  <si>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</si>
  <si>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</si>
  <si>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</si>
  <si>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</si>
  <si>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</si>
  <si>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</si>
  <si>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</si>
  <si>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</si>
  <si>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</si>
  <si>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</si>
  <si>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</si>
  <si>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</si>
  <si>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</si>
  <si>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</si>
  <si>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</si>
  <si>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</si>
  <si>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</si>
  <si>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</si>
  <si>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</si>
  <si>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</si>
  <si>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</si>
  <si>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</si>
  <si>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</si>
  <si>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</si>
  <si>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</si>
  <si>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</si>
  <si>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</si>
  <si>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</si>
  <si>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</si>
  <si>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</si>
  <si>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</si>
  <si>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</si>
  <si>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</si>
  <si>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</si>
  <si>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</si>
  <si>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</si>
  <si>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</si>
  <si>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</si>
  <si>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</si>
  <si>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</si>
  <si>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</si>
  <si>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</si>
  <si>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</si>
  <si>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</si>
  <si>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</si>
  <si>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</si>
  <si>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</si>
  <si>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</si>
  <si>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</si>
  <si>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</si>
  <si>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</si>
  <si>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</si>
  <si>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</si>
  <si>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</si>
  <si>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</si>
  <si>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</si>
  <si>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</si>
  <si>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</si>
  <si>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</si>
  <si>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</si>
  <si>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</si>
  <si>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</si>
  <si>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</si>
  <si>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</si>
  <si>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</si>
  <si>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</si>
  <si>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</si>
  <si>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</si>
  <si>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</si>
  <si>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</si>
  <si>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</si>
  <si>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</si>
  <si>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</si>
  <si>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</si>
  <si>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</si>
  <si>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</si>
  <si>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</si>
  <si>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</si>
  <si>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</si>
  <si>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</si>
  <si>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</si>
  <si>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</si>
  <si>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</si>
  <si>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</si>
  <si>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</si>
  <si>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</si>
  <si>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</si>
  <si>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</si>
  <si>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</si>
  <si>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</si>
  <si>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</si>
  <si>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</si>
  <si>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</si>
  <si>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</si>
  <si>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</si>
  <si>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</si>
  <si>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</si>
  <si>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</si>
  <si>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</si>
  <si>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</si>
  <si>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</si>
  <si>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</si>
  <si>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</si>
  <si>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</si>
  <si>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</si>
  <si>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</si>
  <si>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</si>
  <si>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</si>
  <si>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</si>
  <si>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</si>
  <si>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</si>
  <si>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</si>
  <si>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</si>
  <si>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</si>
  <si>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</si>
  <si>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</si>
  <si>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</si>
  <si>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</si>
  <si>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</si>
  <si>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</si>
  <si>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</si>
  <si>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</si>
  <si>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</si>
  <si>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</si>
  <si>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</si>
  <si>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</si>
  <si>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</si>
  <si>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</si>
  <si>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</si>
  <si>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</si>
  <si>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</si>
  <si>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</si>
  <si>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</si>
  <si>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</si>
  <si>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</si>
  <si>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</si>
  <si>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</si>
  <si>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</si>
  <si>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</si>
  <si>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</si>
  <si>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</si>
  <si>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</si>
  <si>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</si>
  <si>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</si>
  <si>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</si>
  <si>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</si>
  <si>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</si>
  <si>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</si>
  <si>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</si>
  <si>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</si>
  <si>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</si>
  <si>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</si>
  <si>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</si>
  <si>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</si>
  <si>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</si>
  <si>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</si>
  <si>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</si>
  <si>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</si>
  <si>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</si>
  <si>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</si>
  <si>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</si>
  <si>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</si>
  <si>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</si>
  <si>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</si>
  <si>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</si>
  <si>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</si>
  <si>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</si>
  <si>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</si>
  <si>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</si>
  <si>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</si>
  <si>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</si>
  <si>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</si>
  <si>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</si>
  <si>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</si>
  <si>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</si>
  <si>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</si>
  <si>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</si>
  <si>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</si>
  <si>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</si>
  <si>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</si>
  <si>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</si>
  <si>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</si>
  <si>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</si>
  <si>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</si>
  <si>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</si>
  <si>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</si>
  <si>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</si>
  <si>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</si>
  <si>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</si>
  <si>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</si>
  <si>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</si>
  <si>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</si>
  <si>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</si>
  <si>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</si>
  <si>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</si>
  <si>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</si>
  <si>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</si>
  <si>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</si>
  <si>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</si>
  <si>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</si>
  <si>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</si>
  <si>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</si>
  <si>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</si>
  <si>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</si>
  <si>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</si>
  <si>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</si>
  <si>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</si>
  <si>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</si>
  <si>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</si>
  <si>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</si>
  <si>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</si>
  <si>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</si>
  <si>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</si>
  <si>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</si>
  <si>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</si>
  <si>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</si>
  <si>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</si>
  <si>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</si>
  <si>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</si>
  <si>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</si>
  <si>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</si>
  <si>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</si>
  <si>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</si>
  <si>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</si>
  <si>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</si>
  <si>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</si>
  <si>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</si>
  <si>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</si>
  <si>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</si>
  <si>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</si>
  <si>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</si>
  <si>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</si>
  <si>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</si>
  <si>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</si>
  <si>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</si>
  <si>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</si>
  <si>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</si>
  <si>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</si>
  <si>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</si>
  <si>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</si>
  <si>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</si>
  <si>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</si>
  <si>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</si>
  <si>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</si>
  <si>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</si>
  <si>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</si>
  <si>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</si>
  <si>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</si>
  <si>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</si>
  <si>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</si>
  <si>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</si>
  <si>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</si>
  <si>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</si>
  <si>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</si>
  <si>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</si>
  <si>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</si>
  <si>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</si>
  <si>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</si>
  <si>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</si>
  <si>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</si>
  <si>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</si>
  <si>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</si>
  <si>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</si>
  <si>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</si>
  <si>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</si>
  <si>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</si>
  <si>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</si>
  <si>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</si>
  <si>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</si>
  <si>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</si>
  <si>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</si>
  <si>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</si>
  <si>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</si>
  <si>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</si>
  <si>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</si>
  <si>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</si>
  <si>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</si>
  <si>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</si>
  <si>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</si>
  <si>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</si>
  <si>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</si>
  <si>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</si>
  <si>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</si>
  <si>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</si>
  <si>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</si>
  <si>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</si>
  <si>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</si>
  <si>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</si>
  <si>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</si>
  <si>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</si>
  <si>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</si>
  <si>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</si>
  <si>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</si>
  <si>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</si>
  <si>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</si>
  <si>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</si>
  <si>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</si>
  <si>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</si>
  <si>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</si>
  <si>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</si>
  <si>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</si>
  <si>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</si>
  <si>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</si>
  <si>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</si>
  <si>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</si>
  <si>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</si>
  <si>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</si>
  <si>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</si>
  <si>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</si>
  <si>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</si>
  <si>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</si>
  <si>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</si>
  <si>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</si>
  <si>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</si>
  <si>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</si>
  <si>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</si>
  <si>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</si>
  <si>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</si>
  <si>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</si>
  <si>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</si>
  <si>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</si>
  <si>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</si>
  <si>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</si>
  <si>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</si>
  <si>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</si>
  <si>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</si>
  <si>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</si>
  <si>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</si>
  <si>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</si>
  <si>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</si>
  <si>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</si>
  <si>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</si>
  <si>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</si>
  <si>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</si>
  <si>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</si>
  <si>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</si>
  <si>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</si>
  <si>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</si>
  <si>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</si>
  <si>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</si>
  <si>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</si>
  <si>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</si>
  <si>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</si>
  <si>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</si>
  <si>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</si>
  <si>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</si>
  <si>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</si>
  <si>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</si>
  <si>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</si>
  <si>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</si>
  <si>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</si>
  <si>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</si>
  <si>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</si>
  <si>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</si>
  <si>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</si>
  <si>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</si>
  <si>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</si>
  <si>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</si>
  <si>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</si>
  <si>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</si>
  <si>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</si>
  <si>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</si>
  <si>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</si>
  <si>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</si>
  <si>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</si>
  <si>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</si>
  <si>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</si>
  <si>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</si>
  <si>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</si>
  <si>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</si>
  <si>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</si>
  <si>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</si>
  <si>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</si>
  <si>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</si>
  <si>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</si>
  <si>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</si>
  <si>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</si>
  <si>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</si>
  <si>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</si>
  <si>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</si>
  <si>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</si>
  <si>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</si>
  <si>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</si>
  <si>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</si>
  <si>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</si>
  <si>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</si>
  <si>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</si>
  <si>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</si>
  <si>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</si>
  <si>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</si>
  <si>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</si>
  <si>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</si>
  <si>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</si>
  <si>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</si>
  <si>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</si>
  <si>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</si>
  <si>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</si>
  <si>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</si>
  <si>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</si>
  <si>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</si>
  <si>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</si>
  <si>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</si>
  <si>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</si>
  <si>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</si>
  <si>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</si>
  <si>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</si>
  <si>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</si>
  <si>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</si>
  <si>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</si>
  <si>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</si>
  <si>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</si>
  <si>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</si>
  <si>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</si>
  <si>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</si>
  <si>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</si>
  <si>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</si>
  <si>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</si>
  <si>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</si>
  <si>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</si>
  <si>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</si>
  <si>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</si>
  <si>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</si>
  <si>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</si>
  <si>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</si>
  <si>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</si>
  <si>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</si>
  <si>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</si>
  <si>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</si>
  <si>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</si>
  <si>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</si>
  <si>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</si>
  <si>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</si>
  <si>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</si>
  <si>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</si>
  <si>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</si>
  <si>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</si>
  <si>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</si>
  <si>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</si>
  <si>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</si>
  <si>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</si>
  <si>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</si>
  <si>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</si>
  <si>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</si>
  <si>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</si>
  <si>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</si>
  <si>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</si>
  <si>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</si>
  <si>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</si>
  <si>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</si>
  <si>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</si>
  <si>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</si>
  <si>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</si>
  <si>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</si>
  <si>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</si>
  <si>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</si>
  <si>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</si>
  <si>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</si>
  <si>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</si>
  <si>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</si>
  <si>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</si>
  <si>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</si>
  <si>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</si>
  <si>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</si>
  <si>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</si>
  <si>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</si>
  <si>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</si>
  <si>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</si>
  <si>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</si>
  <si>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</si>
  <si>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</si>
  <si>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</si>
  <si>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</si>
  <si>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</si>
  <si>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</si>
  <si>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</si>
  <si>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</si>
  <si>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</si>
  <si>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</si>
  <si>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windrunner_windrun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</si>
  <si>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</si>
  <si>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</si>
  <si>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</si>
  <si>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</si>
  <si>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</si>
  <si>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</si>
  <si>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</si>
  <si>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ACT_DOTA_CAST_ABILITY_1</t>
  </si>
  <si>
    <t>DOTA_ABILITY_BEHAVIOR_NO_TARGET</t>
  </si>
  <si>
    <t>DOTA_ABILITY_BEHAVIOR_UNIT_TARGET</t>
  </si>
  <si>
    <t>radius</t>
  </si>
  <si>
    <t>duration</t>
  </si>
  <si>
    <t>attackspeed</t>
  </si>
  <si>
    <t>movespeed</t>
  </si>
  <si>
    <t>active_cooldown</t>
    <phoneticPr fontId="1" type="noConversion"/>
  </si>
  <si>
    <t>damage_increase_pct</t>
    <phoneticPr fontId="1" type="noConversion"/>
  </si>
  <si>
    <t>15</t>
    <phoneticPr fontId="1" type="noConversion"/>
  </si>
  <si>
    <t>25</t>
    <phoneticPr fontId="1" type="noConversion"/>
  </si>
  <si>
    <t>attackspeed_reduce</t>
    <phoneticPr fontId="1" type="noConversion"/>
  </si>
  <si>
    <t>50</t>
    <phoneticPr fontId="1" type="noConversion"/>
  </si>
  <si>
    <t>movespeed_reduce</t>
    <phoneticPr fontId="1" type="noConversion"/>
  </si>
  <si>
    <t>cooldown</t>
    <phoneticPr fontId="1" type="noConversion"/>
  </si>
  <si>
    <t>2</t>
    <phoneticPr fontId="1" type="noConversion"/>
  </si>
  <si>
    <t>6</t>
    <phoneticPr fontId="1" type="noConversion"/>
  </si>
  <si>
    <t>crystal_maiden_1</t>
  </si>
  <si>
    <t>crystal_maiden_2</t>
  </si>
  <si>
    <t>crystal_maiden_3</t>
  </si>
  <si>
    <t>crystal_maiden_4</t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</si>
  <si>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</si>
  <si>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</si>
  <si>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</si>
  <si>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</si>
  <si>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</si>
  <si>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</si>
  <si>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</si>
  <si>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duration</t>
    <phoneticPr fontId="1" type="noConversion"/>
  </si>
  <si>
    <t>5</t>
    <phoneticPr fontId="1" type="noConversion"/>
  </si>
  <si>
    <t>80 85 90 95 100 105 110 115 120 125 130 135 140 145 150 155 160 165 170 175</t>
  </si>
  <si>
    <t>frozen_duration</t>
    <phoneticPr fontId="1" type="noConversion"/>
  </si>
  <si>
    <t>0.25 0.3 0.35 0.4 0.45 0.5 0.55 0.6 0.65 0.7 0.75 0.8 0.85 0.9 0.95 1 1.05 1.1 1.15 1.2</t>
  </si>
  <si>
    <t>25 30 35 40 45 50 55 60 65 70 75 80 85 90 95 100 105 110 115 120</t>
  </si>
  <si>
    <t>900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</si>
</sst>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1"/>
  <sheetViews>
    <sheetView tabSelected="1" workbookViewId="0">
      <pane xSplit="2" ySplit="2" topLeftCell="AF81" activePane="bottomRight" state="frozen"/>
      <selection pane="topRight" activeCell="C1" sqref="C1"/>
      <selection pane="bottomLeft" activeCell="A3" sqref="A3"/>
      <selection pane="bottomRight" activeCell="AH115" sqref="AH11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208</v>
      </c>
      <c r="G3" s="1" t="s">
        <v>477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  <c r="AG3" s="8" t="s">
        <v>620</v>
      </c>
      <c r="AH3" s="8" t="s">
        <v>627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 t="s">
        <v>629</v>
      </c>
      <c r="AH4" s="8" t="s">
        <v>628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:E12" si="0">A5</f>
        <v>omniknight_1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 t="s">
        <v>621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 t="s">
        <v>623</v>
      </c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:E12" si="2">A7</f>
        <v>omniknight_2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  <c r="AM7" s="10" t="s">
        <v>624</v>
      </c>
      <c r="AN7" s="10" t="s">
        <v>626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  <c r="AM8" s="10" t="s">
        <v>625</v>
      </c>
      <c r="AN8" s="10" t="s">
        <v>622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:E12" si="4">A9</f>
        <v>omniknight_3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:E58" si="15">A51</f>
        <v>spectre_1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:E58" si="17">A53</f>
        <v>spectre_2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:E58" si="19">A55</f>
        <v>spectre_3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1" si="21">A57</f>
        <v>spectre_4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tr">
        <f t="shared" si="21"/>
        <v>spectre_1_0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tr">
        <f t="shared" si="21"/>
        <v>juggernaut_2_1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634</v>
      </c>
      <c r="B103" s="1" t="s">
        <v>635</v>
      </c>
      <c r="C103" s="1" t="s">
        <v>206</v>
      </c>
      <c r="D103" s="1" t="str">
        <f t="shared" ref="D103:D112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208</v>
      </c>
      <c r="I103" s="1">
        <v>1</v>
      </c>
      <c r="L103" s="1" t="s">
        <v>230</v>
      </c>
      <c r="M103" s="1">
        <v>1200</v>
      </c>
      <c r="N103" s="1">
        <v>0.3</v>
      </c>
      <c r="Q103" s="1">
        <v>15</v>
      </c>
      <c r="U103" s="1">
        <v>50</v>
      </c>
      <c r="W103" s="1" t="s">
        <v>615</v>
      </c>
      <c r="X103" s="1" t="s">
        <v>640</v>
      </c>
      <c r="Y103" s="1" t="s">
        <v>211</v>
      </c>
      <c r="AC103" s="8" t="s">
        <v>641</v>
      </c>
    </row>
    <row r="104" spans="1:39" x14ac:dyDescent="0.2">
      <c r="AC104" s="8" t="s">
        <v>642</v>
      </c>
    </row>
    <row r="105" spans="1:39" x14ac:dyDescent="0.2">
      <c r="A105" s="1" t="s">
        <v>630</v>
      </c>
      <c r="B105" s="1" t="s">
        <v>636</v>
      </c>
      <c r="C105" s="1" t="s">
        <v>206</v>
      </c>
      <c r="D105" s="1" t="str">
        <f t="shared" ref="D105:D112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208</v>
      </c>
      <c r="I105" s="1">
        <v>20</v>
      </c>
      <c r="J105" s="1">
        <v>1</v>
      </c>
      <c r="K105" s="1">
        <v>3</v>
      </c>
      <c r="L105" s="1" t="s">
        <v>613</v>
      </c>
      <c r="N105" s="1">
        <v>0.3</v>
      </c>
      <c r="O105" s="1">
        <v>3</v>
      </c>
      <c r="P105" s="1">
        <v>8</v>
      </c>
      <c r="U105" s="1" t="s">
        <v>643</v>
      </c>
      <c r="W105" s="1" t="s">
        <v>614</v>
      </c>
      <c r="X105" s="1" t="s">
        <v>210</v>
      </c>
      <c r="Y105" s="1" t="s">
        <v>211</v>
      </c>
      <c r="AA105" s="8" t="s">
        <v>212</v>
      </c>
      <c r="AC105" s="8" t="s">
        <v>222</v>
      </c>
      <c r="AD105" s="8" t="s">
        <v>277</v>
      </c>
      <c r="AE105" s="8" t="s">
        <v>644</v>
      </c>
      <c r="AF105" s="8" t="s">
        <v>617</v>
      </c>
      <c r="AG105" s="8" t="s">
        <v>619</v>
      </c>
      <c r="AH105" s="8" t="s">
        <v>618</v>
      </c>
      <c r="AI105" s="10" t="s">
        <v>616</v>
      </c>
    </row>
    <row r="106" spans="1:39" x14ac:dyDescent="0.2">
      <c r="AC106" s="8" t="s">
        <v>396</v>
      </c>
      <c r="AD106" s="8" t="s">
        <v>358</v>
      </c>
      <c r="AE106" s="8" t="s">
        <v>645</v>
      </c>
      <c r="AF106" s="8" t="s">
        <v>629</v>
      </c>
      <c r="AG106" s="8" t="s">
        <v>646</v>
      </c>
      <c r="AH106" s="8" t="s">
        <v>646</v>
      </c>
      <c r="AI106" s="10" t="s">
        <v>647</v>
      </c>
    </row>
    <row r="107" spans="1:39" x14ac:dyDescent="0.2">
      <c r="A107" s="1" t="s">
        <v>631</v>
      </c>
      <c r="B107" s="1" t="s">
        <v>637</v>
      </c>
      <c r="C107" s="1" t="s">
        <v>206</v>
      </c>
      <c r="D107" s="1" t="str">
        <f t="shared" ref="D107:D112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208</v>
      </c>
      <c r="I107" s="1">
        <v>20</v>
      </c>
      <c r="J107" s="1">
        <v>1</v>
      </c>
      <c r="K107" s="1">
        <v>3</v>
      </c>
    </row>
    <row r="109" spans="1:39" x14ac:dyDescent="0.2">
      <c r="A109" s="1" t="s">
        <v>632</v>
      </c>
      <c r="B109" s="1" t="s">
        <v>638</v>
      </c>
      <c r="C109" s="1" t="s">
        <v>206</v>
      </c>
      <c r="D109" s="1" t="str">
        <f t="shared" ref="D109:D112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208</v>
      </c>
      <c r="I109" s="1">
        <v>20</v>
      </c>
      <c r="J109" s="1">
        <v>1</v>
      </c>
      <c r="K109" s="1">
        <v>3</v>
      </c>
    </row>
    <row r="111" spans="1:39" x14ac:dyDescent="0.2">
      <c r="A111" s="1" t="s">
        <v>633</v>
      </c>
      <c r="B111" s="1" t="s">
        <v>639</v>
      </c>
      <c r="C111" s="1" t="s">
        <v>206</v>
      </c>
      <c r="D111" s="1" t="str">
        <f t="shared" ref="D111:D112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251</v>
      </c>
      <c r="I111" s="1">
        <v>8</v>
      </c>
      <c r="J111" s="1">
        <v>8</v>
      </c>
      <c r="K111" s="1">
        <v>24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10" priority="16"/>
  </conditionalFormatting>
  <conditionalFormatting sqref="B1:C42">
    <cfRule type="duplicateValues" dxfId="9" priority="3"/>
  </conditionalFormatting>
  <conditionalFormatting sqref="B43:C43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9D0A-5BA6-4284-A4AF-357BFE9F6655}">
  <sheetPr codeName="Sheet3"/>
  <dimension ref="A1:AR102"/>
  <sheetViews>
    <sheetView workbookViewId="0">
      <pane xSplit="2" ySplit="2" topLeftCell="K70" activePane="bottomRight" state="frozen"/>
      <selection pane="topRight" activeCell="C1" sqref="C1"/>
      <selection pane="bottomLeft" activeCell="A3" sqref="A3"/>
      <selection pane="bottomRight" activeCell="Q97" sqref="Q9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</sheetData>
  <phoneticPr fontId="1" type="noConversion"/>
  <conditionalFormatting sqref="A3:XFD10000">
    <cfRule type="expression" dxfId="7" priority="2">
      <formula>MOD(ROW(A4),2)=0</formula>
    </cfRule>
    <cfRule type="expression" dxfId="6" priority="3">
      <formula>MOD(ROW(A4),4)&lt;2</formula>
    </cfRule>
    <cfRule type="expression" dxfId="5" priority="4">
      <formula>MOD(ROW(A6),4)&lt;2</formula>
    </cfRule>
  </conditionalFormatting>
  <conditionalFormatting sqref="A3:Z10000">
    <cfRule type="expression" dxfId="4" priority="1">
      <formula>AND(ISBLANK(A3)=FALSE,MOD(ROW(),2)=0)</formula>
    </cfRule>
  </conditionalFormatting>
  <dataValidations count="1">
    <dataValidation type="list" allowBlank="1" showInputMessage="1" showErrorMessage="1" sqref="C3:C1048576" xr:uid="{62BD6CD5-8ACB-4CAB-B37D-C1254D089C6A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8A36F-9B70-44B2-8FAD-9E94DFAC2E5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2020-08-16T16:34:11Z</dcterms:modified>
</cp:coreProperties>
</file>