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3501C87D-BB8F-4520-9123-8FC3C44D9CD6}" xr6:coauthVersionLast="45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backup_Sheet1" sheetId="16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3" i="1" l="1"/>
  <c r="E123" i="1"/>
  <c r="D125" i="1"/>
  <c r="E125" i="1"/>
  <c r="D127" i="1"/>
  <c r="E127" i="1"/>
  <c r="D129" i="1"/>
  <c r="E129" i="1"/>
  <c r="D131" i="1"/>
  <c r="E131" i="1"/>
  <c r="E121" i="16"/>
  <c r="D121" i="16"/>
  <c r="E119" i="16"/>
  <c r="D119" i="16"/>
  <c r="E117" i="16"/>
  <c r="D117" i="16"/>
  <c r="E115" i="16"/>
  <c r="D115" i="16"/>
  <c r="E113" i="16"/>
  <c r="D113" i="16"/>
  <c r="E111" i="16"/>
  <c r="D111" i="16"/>
  <c r="E109" i="16"/>
  <c r="D109" i="16"/>
  <c r="E107" i="16"/>
  <c r="D107" i="16"/>
  <c r="E105" i="16"/>
  <c r="D105" i="16"/>
  <c r="E103" i="16"/>
  <c r="D103" i="16"/>
  <c r="E101" i="16"/>
  <c r="D101" i="16"/>
  <c r="E99" i="16"/>
  <c r="D99" i="16"/>
  <c r="E97" i="16"/>
  <c r="D97" i="16"/>
  <c r="E95" i="16"/>
  <c r="D95" i="16"/>
  <c r="E93" i="16"/>
  <c r="D93" i="16"/>
  <c r="E91" i="16"/>
  <c r="D91" i="16"/>
  <c r="E89" i="16"/>
  <c r="D89" i="16"/>
  <c r="E87" i="16"/>
  <c r="D87" i="16"/>
  <c r="E85" i="16"/>
  <c r="D85" i="16"/>
  <c r="E83" i="16"/>
  <c r="D83" i="16"/>
  <c r="E81" i="16"/>
  <c r="D81" i="16"/>
  <c r="E79" i="16"/>
  <c r="D79" i="16"/>
  <c r="E77" i="16"/>
  <c r="D77" i="16"/>
  <c r="E75" i="16"/>
  <c r="D75" i="16"/>
  <c r="E73" i="16"/>
  <c r="D73" i="16"/>
  <c r="E71" i="16"/>
  <c r="E69" i="16"/>
  <c r="D69" i="16"/>
  <c r="E67" i="16"/>
  <c r="D67" i="16"/>
  <c r="E65" i="16"/>
  <c r="D65" i="16"/>
  <c r="E63" i="16"/>
  <c r="D63" i="16"/>
  <c r="E61" i="16"/>
  <c r="D61" i="16"/>
  <c r="E59" i="16"/>
  <c r="E57" i="16"/>
  <c r="D57" i="16"/>
  <c r="E55" i="16"/>
  <c r="D55" i="16"/>
  <c r="E53" i="16"/>
  <c r="D53" i="16"/>
  <c r="E51" i="16"/>
  <c r="D51" i="16"/>
  <c r="E49" i="16"/>
  <c r="D49" i="16"/>
  <c r="D47" i="16"/>
  <c r="D45" i="16"/>
  <c r="D43" i="16"/>
  <c r="D41" i="16"/>
  <c r="D39" i="16"/>
  <c r="E21" i="16"/>
  <c r="D21" i="16"/>
  <c r="E19" i="16"/>
  <c r="D19" i="16"/>
  <c r="E17" i="16"/>
  <c r="D17" i="16"/>
  <c r="E15" i="16"/>
  <c r="D15" i="16"/>
  <c r="E13" i="16"/>
  <c r="D13" i="16"/>
  <c r="E11" i="16"/>
  <c r="D11" i="16"/>
  <c r="E9" i="16"/>
  <c r="D9" i="16"/>
  <c r="E7" i="16"/>
  <c r="D7" i="16"/>
  <c r="E5" i="16"/>
  <c r="D5" i="16"/>
  <c r="E3" i="16"/>
  <c r="D3" i="16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<sst xmlns="http://schemas.openxmlformats.org/spreadsheetml/2006/main" count="2626" uniqueCount="664">
  <si>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</si>
  <si>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</si>
  <si>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</si>
  <si>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</si>
  <si>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</si>
  <si>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</si>
  <si>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</si>
  <si>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</si>
  <si>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</si>
  <si>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</si>
  <si>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</si>
  <si>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</si>
  <si>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</si>
  <si>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</si>
  <si>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</si>
  <si>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</si>
  <si>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</si>
  <si>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</si>
  <si>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</si>
  <si>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</si>
  <si>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</si>
  <si>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</si>
  <si>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</si>
  <si>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</si>
  <si>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</si>
  <si>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</si>
  <si>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</si>
  <si>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</si>
  <si>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</si>
  <si>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</si>
  <si>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</si>
  <si>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</si>
  <si>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</si>
  <si>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</si>
  <si>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</si>
  <si>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</si>
  <si>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</si>
  <si>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</si>
  <si>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</si>
  <si>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</si>
  <si>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</si>
  <si>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</si>
  <si>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</si>
  <si>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</si>
  <si>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</si>
  <si>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</si>
  <si>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</si>
  <si>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</si>
  <si>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</si>
  <si>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</si>
  <si>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</si>
  <si>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</si>
  <si>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</si>
  <si>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</si>
  <si>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</si>
  <si>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</si>
  <si>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</si>
  <si>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</si>
  <si>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</si>
  <si>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</si>
  <si>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</si>
  <si>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</si>
  <si>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</si>
  <si>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</si>
  <si>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</si>
  <si>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</si>
  <si>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</si>
  <si>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</si>
  <si>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</si>
  <si>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</si>
  <si>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</si>
  <si>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</si>
  <si>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</si>
  <si>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</si>
  <si>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</si>
  <si>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</si>
  <si>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</si>
  <si>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</si>
  <si>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</si>
  <si>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</si>
  <si>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</si>
  <si>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</si>
  <si>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</si>
  <si>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</si>
  <si>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</si>
  <si>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</si>
  <si>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</si>
  <si>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</si>
  <si>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</si>
  <si>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</si>
  <si>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</si>
  <si>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</si>
  <si>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</si>
  <si>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</si>
  <si>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</si>
  <si>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</si>
  <si>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</si>
  <si>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</si>
  <si>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</si>
  <si>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</si>
  <si>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</si>
  <si>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</si>
  <si>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</si>
  <si>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</si>
  <si>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</si>
  <si>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</si>
  <si>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</si>
  <si>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</si>
  <si>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</si>
  <si>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</si>
  <si>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</si>
  <si>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</si>
  <si>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</si>
  <si>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</si>
  <si>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</si>
  <si>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</si>
  <si>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</si>
  <si>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</si>
  <si>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</si>
  <si>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</si>
  <si>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</si>
  <si>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</si>
  <si>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</si>
  <si>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</si>
  <si>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</si>
  <si>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</si>
  <si>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</si>
  <si>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</si>
  <si>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</si>
  <si>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</si>
  <si>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</si>
  <si>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</si>
  <si>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</si>
  <si>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</si>
  <si>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</si>
  <si>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</si>
  <si>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</si>
  <si>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</si>
  <si>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</si>
  <si>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</si>
  <si>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</si>
  <si>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</si>
  <si>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</si>
  <si>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</si>
  <si>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</si>
  <si>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</si>
  <si>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</si>
  <si>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</si>
  <si>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</si>
  <si>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</si>
  <si>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</si>
  <si>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</si>
  <si>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</si>
  <si>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</si>
  <si>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</si>
  <si>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</si>
  <si>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</si>
  <si>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</si>
  <si>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</si>
  <si>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</si>
  <si>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</si>
  <si>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</si>
  <si>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</si>
  <si>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</si>
  <si>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</si>
  <si>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</si>
  <si>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</si>
  <si>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</si>
  <si>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</si>
  <si>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</si>
  <si>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</si>
  <si>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</si>
  <si>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</si>
  <si>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</si>
  <si>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</si>
  <si>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</si>
  <si>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</si>
  <si>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</si>
  <si>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</si>
  <si>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</si>
  <si>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</si>
  <si>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</si>
  <si>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</si>
  <si>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</si>
  <si>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</si>
  <si>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</si>
  <si>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</si>
  <si>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</si>
  <si>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</si>
  <si>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</si>
  <si>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</si>
  <si>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</si>
  <si>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</si>
  <si>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</si>
  <si>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</si>
  <si>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</si>
  <si>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</si>
  <si>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</si>
  <si>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</si>
  <si>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</si>
  <si>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</si>
  <si>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</si>
  <si>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</si>
  <si>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</si>
  <si>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</si>
  <si>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</si>
  <si>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</si>
  <si>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</si>
  <si>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</si>
  <si>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</si>
  <si>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</si>
  <si>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</si>
  <si>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</si>
  <si>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</si>
  <si>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</si>
  <si>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</si>
  <si>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</si>
  <si>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</si>
  <si>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</si>
  <si>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</si>
  <si>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</si>
  <si>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</si>
  <si>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</si>
  <si>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</si>
  <si>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</si>
  <si>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</si>
  <si>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</si>
  <si>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</si>
  <si>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</si>
  <si>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</si>
  <si>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</si>
  <si>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</si>
  <si>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</si>
  <si>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</si>
  <si>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</si>
  <si>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</si>
  <si>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</si>
  <si>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</si>
  <si>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</si>
  <si>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</si>
  <si>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</si>
  <si>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</si>
  <si>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</si>
  <si>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</si>
  <si>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</si>
  <si>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</si>
  <si>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</si>
  <si>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</si>
  <si>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</si>
  <si>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</si>
  <si>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</si>
  <si>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</si>
  <si>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</si>
  <si>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</si>
  <si>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</si>
  <si>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</si>
  <si>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</si>
  <si>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</si>
  <si>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</si>
  <si>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</si>
  <si>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</si>
  <si>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</si>
  <si>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</si>
  <si>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</si>
  <si>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</si>
  <si>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</si>
  <si>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</si>
  <si>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</si>
  <si>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</si>
  <si>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</si>
  <si>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</si>
  <si>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</si>
  <si>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</si>
  <si>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</si>
  <si>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</si>
  <si>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</si>
  <si>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</si>
  <si>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</si>
  <si>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</si>
  <si>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</si>
  <si>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</si>
  <si>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</si>
  <si>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</si>
  <si>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</si>
  <si>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</si>
  <si>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</si>
  <si>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</si>
  <si>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</si>
  <si>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</si>
  <si>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</si>
  <si>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</si>
  <si>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</si>
  <si>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</si>
  <si>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</si>
  <si>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</si>
  <si>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</si>
  <si>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</si>
  <si>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</si>
  <si>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</si>
  <si>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</si>
  <si>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</si>
  <si>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</si>
  <si>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</si>
  <si>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</si>
  <si>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</si>
  <si>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</si>
  <si>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</si>
  <si>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</si>
  <si>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</si>
  <si>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</si>
  <si>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</si>
  <si>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</si>
  <si>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</si>
  <si>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</si>
  <si>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</si>
  <si>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</si>
  <si>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</si>
  <si>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</si>
  <si>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</si>
  <si>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</si>
  <si>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</si>
  <si>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</si>
  <si>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</si>
  <si>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</si>
  <si>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</si>
  <si>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</si>
  <si>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</si>
  <si>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</si>
  <si>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</si>
  <si>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</si>
  <si>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</si>
  <si>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</si>
  <si>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</si>
  <si>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</si>
  <si>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</si>
  <si>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</si>
  <si>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</si>
  <si>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</si>
  <si>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</si>
  <si>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</si>
  <si>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</si>
  <si>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</si>
  <si>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</si>
  <si>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</si>
  <si>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</si>
  <si>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</si>
  <si>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</si>
  <si>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</si>
  <si>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</si>
  <si>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</si>
  <si>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</si>
  <si>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</si>
  <si>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</si>
  <si>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</si>
  <si>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</si>
  <si>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</si>
  <si>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</si>
  <si>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</si>
  <si>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</si>
  <si>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</si>
  <si>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</si>
  <si>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</si>
  <si>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</si>
  <si>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</si>
  <si>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</si>
  <si>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</si>
  <si>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</si>
  <si>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</si>
  <si>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</si>
  <si>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</si>
  <si>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</si>
  <si>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</si>
  <si>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</si>
  <si>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</si>
  <si>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</si>
  <si>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</si>
  <si>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</si>
  <si>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</si>
  <si>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</si>
  <si>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</si>
  <si>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</si>
  <si>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</si>
  <si>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</si>
  <si>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</si>
  <si>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</si>
  <si>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</si>
  <si>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</si>
  <si>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</si>
  <si>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</si>
  <si>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</si>
  <si>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</si>
  <si>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</si>
  <si>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</si>
  <si>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</si>
  <si>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</si>
  <si>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</si>
  <si>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</si>
  <si>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</si>
  <si>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</si>
  <si>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</si>
  <si>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</si>
  <si>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</si>
  <si>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</si>
  <si>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</si>
  <si>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</si>
  <si>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</si>
  <si>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</si>
  <si>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</si>
  <si>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</si>
  <si>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</si>
  <si>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</si>
  <si>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</si>
  <si>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</si>
  <si>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</si>
  <si>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</si>
  <si>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</si>
  <si>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</si>
  <si>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</si>
  <si>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</si>
  <si>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</si>
  <si>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</si>
  <si>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</si>
  <si>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</si>
  <si>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</si>
  <si>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</si>
  <si>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</si>
  <si>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</si>
  <si>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</si>
  <si>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</si>
  <si>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</si>
  <si>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</si>
  <si>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</si>
  <si>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</si>
  <si>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</si>
  <si>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</si>
  <si>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</si>
  <si>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</si>
  <si>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</si>
  <si>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</si>
  <si>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</si>
  <si>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</si>
  <si>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</si>
  <si>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</si>
  <si>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</si>
  <si>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</si>
  <si>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</si>
  <si>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</si>
  <si>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</si>
  <si>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</si>
  <si>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</si>
  <si>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</si>
  <si>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</si>
  <si>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</si>
  <si>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</si>
  <si>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</si>
  <si>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</si>
  <si>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</si>
  <si>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</si>
  <si>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</si>
  <si>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</si>
  <si>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</si>
  <si>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</si>
  <si>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</si>
  <si>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</si>
  <si>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</si>
  <si>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</si>
  <si>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</si>
  <si>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</si>
  <si>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</si>
  <si>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</si>
  <si>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</si>
  <si>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</si>
  <si>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</si>
  <si>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</si>
  <si>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</si>
  <si>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</si>
  <si>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</si>
  <si>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</si>
  <si>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</si>
  <si>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</si>
  <si>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</si>
  <si>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</si>
  <si>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</si>
  <si>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</si>
  <si>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</si>
  <si>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</si>
  <si>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</si>
  <si>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</si>
  <si>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</si>
  <si>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</si>
  <si>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</si>
  <si>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</si>
  <si>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</si>
  <si>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</si>
  <si>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</si>
  <si>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</si>
  <si>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</si>
  <si>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</si>
  <si>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</si>
  <si>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</si>
  <si>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</si>
  <si>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</si>
  <si>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</si>
  <si>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</si>
  <si>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</si>
  <si>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</si>
  <si>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</si>
  <si>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</si>
  <si>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</si>
  <si>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</si>
  <si>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</si>
  <si>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</si>
  <si>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</si>
  <si>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</si>
  <si>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</si>
  <si>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</si>
  <si>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</si>
  <si>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</si>
  <si>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</si>
  <si>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</si>
  <si>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</si>
  <si>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</si>
  <si>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</si>
  <si>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</si>
  <si>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</si>
  <si>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</si>
  <si>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</si>
  <si>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</si>
  <si>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</si>
  <si>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</si>
  <si>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</si>
  <si>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</si>
  <si>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</si>
  <si>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</si>
  <si>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</si>
  <si>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</si>
  <si>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</si>
  <si>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</si>
  <si>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</si>
  <si>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</si>
  <si>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</si>
  <si>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</si>
  <si>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</si>
  <si>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</si>
  <si>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</si>
  <si>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</si>
  <si>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</si>
  <si>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</si>
  <si>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</si>
  <si>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</si>
  <si>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</si>
  <si>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</si>
  <si>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</si>
  <si>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</si>
  <si>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</si>
  <si>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</si>
  <si>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</si>
  <si>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</si>
  <si>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</si>
  <si>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</si>
  <si>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</si>
  <si>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</si>
  <si>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</si>
  <si>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</si>
  <si>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</si>
  <si>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</si>
  <si>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</si>
  <si>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</si>
  <si>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</si>
  <si>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</si>
  <si>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</si>
  <si>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</si>
  <si>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</si>
  <si>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</si>
  <si>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</si>
  <si>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</si>
  <si>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</si>
  <si>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</si>
  <si>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</si>
  <si>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</si>
  <si>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</si>
  <si>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</si>
  <si>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</si>
  <si>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</si>
  <si>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</si>
  <si>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</si>
  <si>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</si>
  <si>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</si>
  <si>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</si>
  <si>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</si>
  <si>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</si>
  <si>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</si>
  <si>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</si>
  <si>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</si>
  <si>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</si>
  <si>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</si>
  <si>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</si>
  <si>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</si>
  <si>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</si>
  <si>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</si>
  <si>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</si>
  <si>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</si>
  <si>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</si>
  <si>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</si>
  <si>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</si>
  <si>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</si>
  <si>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</si>
  <si>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</si>
  <si>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</si>
  <si>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</si>
  <si>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</si>
  <si>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</si>
  <si>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</si>
  <si>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</si>
  <si>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</si>
  <si>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</si>
  <si>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</si>
  <si>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</si>
  <si>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</si>
  <si>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</si>
  <si>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</si>
  <si>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</si>
  <si>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</si>
  <si>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</si>
  <si>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</si>
  <si>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</si>
  <si>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</si>
  <si>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</si>
  <si>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</si>
  <si>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</si>
  <si>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</si>
  <si>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</si>
  <si>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</si>
  <si>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</si>
  <si>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</si>
  <si>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</si>
  <si>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</si>
  <si>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</si>
  <si>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</si>
  <si>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</si>
  <si>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</si>
  <si>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</si>
  <si>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</si>
  <si>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</si>
  <si>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</si>
  <si>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</si>
  <si>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</si>
  <si>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</si>
  <si>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</si>
  <si>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</si>
  <si>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</si>
  <si>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</si>
  <si>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</si>
  <si>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-27.5 -30 -32.5 -35 -37.5 -40 -42.5 -45 -47.5 -50 -52.5 -55 -57.5 -60 -62.5 -65 -67.5 -70 -72.5 -75</t>
    <phoneticPr fontId="1" type="noConversion"/>
  </si>
  <si>
    <t>void_spirit_0</t>
    <phoneticPr fontId="1" type="noConversion"/>
  </si>
  <si>
    <t>void_spirit_1</t>
  </si>
  <si>
    <t>void_spirit_2</t>
  </si>
  <si>
    <t>void_spirit_3</t>
  </si>
  <si>
    <t>void_spirit_4</t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</si>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</sst>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1"/>
  <sheetViews>
    <sheetView tabSelected="1" workbookViewId="0">
      <pane xSplit="2" ySplit="2" topLeftCell="E119" activePane="bottomRight" state="frozen"/>
      <selection pane="topRight" activeCell="C1" sqref="C1"/>
      <selection pane="bottomLeft" activeCell="A3" sqref="A3"/>
      <selection pane="bottomRight" activeCell="H137" sqref="H137"/>
    </sheetView>
  </sheetViews>
  <sheetFormatPr defaultColWidth="9" defaultRowHeight="13.9" x14ac:dyDescent="0.4"/>
  <cols>
    <col min="1" max="1" width="17.1328125" style="1" bestFit="1" customWidth="1"/>
    <col min="2" max="2" width="10.73046875" style="1" bestFit="1" customWidth="1"/>
    <col min="3" max="3" width="9.265625" style="1" bestFit="1" customWidth="1"/>
    <col min="4" max="4" width="46.59765625" style="1" bestFit="1" customWidth="1"/>
    <col min="5" max="5" width="28.3984375" style="1" bestFit="1" customWidth="1"/>
    <col min="6" max="6" width="28.265625" style="1" bestFit="1" customWidth="1"/>
    <col min="7" max="7" width="30.46484375" style="1" bestFit="1" customWidth="1"/>
    <col min="8" max="8" width="16" style="1" bestFit="1" customWidth="1"/>
    <col min="9" max="9" width="8.73046875" style="1" bestFit="1" customWidth="1"/>
    <col min="10" max="10" width="13" style="1" bestFit="1" customWidth="1"/>
    <col min="11" max="11" width="21.86328125" style="1" bestFit="1" customWidth="1"/>
    <col min="12" max="12" width="29.59765625" style="1" bestFit="1" customWidth="1"/>
    <col min="13" max="13" width="15.3984375" style="1" bestFit="1" customWidth="1"/>
    <col min="14" max="14" width="14.265625" style="1" bestFit="1" customWidth="1"/>
    <col min="15" max="15" width="13.265625" style="1" bestFit="1" customWidth="1"/>
    <col min="16" max="16" width="23.265625" style="1" bestFit="1" customWidth="1"/>
    <col min="17" max="17" width="14.86328125" style="1" bestFit="1" customWidth="1"/>
    <col min="18" max="18" width="24.265625" style="1" bestFit="1" customWidth="1"/>
    <col min="19" max="19" width="18.265625" style="1" bestFit="1" customWidth="1"/>
    <col min="20" max="20" width="12.86328125" style="1" bestFit="1" customWidth="1"/>
    <col min="21" max="21" width="77.86328125" style="1" bestFit="1" customWidth="1"/>
    <col min="22" max="22" width="17.3984375" style="1" bestFit="1" customWidth="1"/>
    <col min="23" max="23" width="34.46484375" style="1" customWidth="1"/>
    <col min="24" max="24" width="34.46484375" style="1" bestFit="1" customWidth="1"/>
    <col min="25" max="25" width="51.1328125" style="1" bestFit="1" customWidth="1"/>
    <col min="26" max="26" width="33.86328125" style="1" bestFit="1" customWidth="1"/>
    <col min="27" max="27" width="23.46484375" style="8" bestFit="1" customWidth="1"/>
    <col min="28" max="28" width="28.86328125" style="8" bestFit="1" customWidth="1"/>
    <col min="29" max="29" width="92.73046875" style="8" bestFit="1" customWidth="1"/>
    <col min="30" max="30" width="82.265625" style="8" bestFit="1" customWidth="1"/>
    <col min="31" max="31" width="71.265625" style="8" bestFit="1" customWidth="1"/>
    <col min="32" max="32" width="61.46484375" style="8" bestFit="1" customWidth="1"/>
    <col min="33" max="33" width="59.1328125" style="8" bestFit="1" customWidth="1"/>
    <col min="34" max="34" width="74.73046875" style="8" bestFit="1" customWidth="1"/>
    <col min="35" max="35" width="51.46484375" style="10" bestFit="1" customWidth="1"/>
    <col min="36" max="36" width="48.3984375" style="10" bestFit="1" customWidth="1"/>
    <col min="37" max="37" width="70.46484375" style="10" bestFit="1" customWidth="1"/>
    <col min="38" max="38" width="22.73046875" style="10" bestFit="1" customWidth="1"/>
    <col min="39" max="39" width="74.73046875" style="10" bestFit="1" customWidth="1"/>
    <col min="40" max="40" width="16.73046875" style="10" bestFit="1" customWidth="1"/>
    <col min="41" max="41" width="13.73046875" style="10" bestFit="1" customWidth="1"/>
    <col min="42" max="42" width="12.86328125" style="1" bestFit="1" customWidth="1"/>
    <col min="43" max="43" width="25.59765625" style="1" bestFit="1" customWidth="1"/>
    <col min="44" max="44" width="13.59765625" style="1" bestFit="1" customWidth="1"/>
    <col min="45" max="16384" width="9" style="1"/>
  </cols>
  <sheetData>
    <row r="1" spans="1:44" s="4" customFormat="1" x14ac:dyDescent="0.4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4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4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4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4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4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4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4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4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4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4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4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4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4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4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4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4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4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4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4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4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4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4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4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4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4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4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4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4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4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4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4">
      <c r="D32" s="3"/>
      <c r="AC32" s="8">
        <v>50</v>
      </c>
      <c r="AD32" s="8">
        <v>2</v>
      </c>
      <c r="AE32" s="8">
        <v>3</v>
      </c>
    </row>
    <row r="33" spans="1:41" x14ac:dyDescent="0.4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4">
      <c r="D34" s="3"/>
      <c r="AC34" s="8">
        <v>50</v>
      </c>
      <c r="AD34" s="8">
        <v>2</v>
      </c>
      <c r="AE34" s="8">
        <v>3</v>
      </c>
    </row>
    <row r="35" spans="1:41" x14ac:dyDescent="0.4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4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4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4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4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4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4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4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4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4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4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4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4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4">
      <c r="D48" s="3"/>
      <c r="AC48" s="8">
        <v>50</v>
      </c>
      <c r="AD48" s="8" t="s">
        <v>362</v>
      </c>
    </row>
    <row r="49" spans="1:44" x14ac:dyDescent="0.4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4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4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4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4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4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4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4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4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4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4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4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4">
      <c r="AC62" s="8">
        <v>4</v>
      </c>
      <c r="AD62" s="8">
        <v>400</v>
      </c>
      <c r="AE62" s="8">
        <v>100</v>
      </c>
    </row>
    <row r="63" spans="1:44" x14ac:dyDescent="0.4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269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4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4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4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4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4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4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4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4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4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4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4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4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4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4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4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4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4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4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4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4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4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4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4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4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4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4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4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4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4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4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4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4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4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4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4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4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4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4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4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4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4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4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4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4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4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4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4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4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4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6" x14ac:dyDescent="0.4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6" x14ac:dyDescent="0.4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6" x14ac:dyDescent="0.4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6" x14ac:dyDescent="0.4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6" x14ac:dyDescent="0.4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6" x14ac:dyDescent="0.4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6" x14ac:dyDescent="0.4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6" x14ac:dyDescent="0.4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6" x14ac:dyDescent="0.4">
      <c r="A121" s="1" t="s">
        <v>645</v>
      </c>
      <c r="B121" s="1" t="s">
        <v>626</v>
      </c>
      <c r="C121" s="1" t="s">
        <v>205</v>
      </c>
      <c r="D121" s="1" t="str">
        <f t="shared" ref="D121" si="49">"abilities/heroes/"&amp;LEFT(A121,LEN(A121)-2)&amp;"/"&amp;A121</f>
        <v>abilities/heroes/oracle/oracle_4</v>
      </c>
      <c r="E121" s="1" t="str">
        <f t="shared" ref="E12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6" x14ac:dyDescent="0.4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6" x14ac:dyDescent="0.4">
      <c r="A123" s="1" t="s">
        <v>654</v>
      </c>
      <c r="B123" s="1" t="s">
        <v>659</v>
      </c>
      <c r="C123" s="1" t="s">
        <v>205</v>
      </c>
      <c r="D123" s="1" t="str">
        <f t="shared" ref="D123:D131" si="51">"abilities/heroes/"&amp;LEFT(A123,LEN(A123)-2)&amp;"/"&amp;A123</f>
        <v>abilities/heroes/void_spirit/void_spirit_0</v>
      </c>
      <c r="E123" s="1" t="str">
        <f t="shared" ref="E123:E131" si="52">A123</f>
        <v>void_spirit_0</v>
      </c>
      <c r="F123" s="1" t="s">
        <v>206</v>
      </c>
      <c r="I123" s="1">
        <v>1</v>
      </c>
      <c r="Q123" s="1">
        <v>5</v>
      </c>
      <c r="U123" s="1">
        <v>50</v>
      </c>
      <c r="W123" s="1" t="s">
        <v>308</v>
      </c>
      <c r="X123" s="1" t="s">
        <v>208</v>
      </c>
      <c r="Y123" s="1" t="s">
        <v>209</v>
      </c>
      <c r="Z123" s="1" t="s">
        <v>524</v>
      </c>
      <c r="AA123" s="8" t="s">
        <v>210</v>
      </c>
    </row>
    <row r="125" spans="1:36" x14ac:dyDescent="0.4">
      <c r="A125" s="1" t="s">
        <v>655</v>
      </c>
      <c r="B125" s="1" t="s">
        <v>660</v>
      </c>
      <c r="C125" s="1" t="s">
        <v>205</v>
      </c>
      <c r="D125" s="1" t="str">
        <f t="shared" ref="D125:D131" si="53">"abilities/heroes/"&amp;LEFT(A125,LEN(A125)-2)&amp;"/"&amp;A125</f>
        <v>abilities/heroes/void_spirit/void_spirit_1</v>
      </c>
      <c r="E125" s="1" t="str">
        <f t="shared" ref="E125:E131" si="54">A125</f>
        <v>void_spirit_1</v>
      </c>
      <c r="F125" s="1" t="s">
        <v>206</v>
      </c>
      <c r="I125" s="1">
        <v>20</v>
      </c>
      <c r="J125" s="1">
        <v>1</v>
      </c>
      <c r="K125" s="1">
        <v>3</v>
      </c>
      <c r="Q125" s="1">
        <v>10</v>
      </c>
      <c r="U125" s="1" t="s">
        <v>307</v>
      </c>
      <c r="W125" s="1" t="s">
        <v>88</v>
      </c>
      <c r="X125" s="1" t="s">
        <v>208</v>
      </c>
      <c r="Y125" s="1" t="s">
        <v>209</v>
      </c>
      <c r="Z125" s="1" t="s">
        <v>524</v>
      </c>
      <c r="AA125" s="8" t="s">
        <v>210</v>
      </c>
    </row>
    <row r="127" spans="1:36" x14ac:dyDescent="0.4">
      <c r="A127" s="1" t="s">
        <v>656</v>
      </c>
      <c r="B127" s="1" t="s">
        <v>661</v>
      </c>
      <c r="C127" s="1" t="s">
        <v>205</v>
      </c>
      <c r="D127" s="1" t="str">
        <f t="shared" ref="D127:D131" si="55">"abilities/heroes/"&amp;LEFT(A127,LEN(A127)-2)&amp;"/"&amp;A127</f>
        <v>abilities/heroes/void_spirit/void_spirit_2</v>
      </c>
      <c r="E127" s="1" t="str">
        <f t="shared" ref="E127:E131" si="56"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Q127" s="1">
        <v>8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</row>
    <row r="129" spans="1:27" x14ac:dyDescent="0.4">
      <c r="A129" s="1" t="s">
        <v>657</v>
      </c>
      <c r="B129" s="1" t="s">
        <v>662</v>
      </c>
      <c r="C129" s="1" t="s">
        <v>205</v>
      </c>
      <c r="D129" s="1" t="str">
        <f t="shared" ref="D129:D131" si="57">"abilities/heroes/"&amp;LEFT(A129,LEN(A129)-2)&amp;"/"&amp;A129</f>
        <v>abilities/heroes/void_spirit/void_spirit_3</v>
      </c>
      <c r="E129" s="1" t="str">
        <f t="shared" ref="E129:E131" si="58"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Q129" s="1">
        <v>20</v>
      </c>
      <c r="U129" s="1" t="s">
        <v>218</v>
      </c>
      <c r="W129" s="1" t="s">
        <v>88</v>
      </c>
      <c r="X129" s="1" t="s">
        <v>208</v>
      </c>
      <c r="Y129" s="1" t="s">
        <v>209</v>
      </c>
      <c r="Z129" s="1" t="s">
        <v>524</v>
      </c>
      <c r="AA129" s="8" t="s">
        <v>210</v>
      </c>
    </row>
    <row r="131" spans="1:27" x14ac:dyDescent="0.4">
      <c r="A131" s="1" t="s">
        <v>658</v>
      </c>
      <c r="B131" s="1" t="s">
        <v>663</v>
      </c>
      <c r="C131" s="1" t="s">
        <v>205</v>
      </c>
      <c r="D131" s="1" t="str">
        <f t="shared" ref="D131" si="59">"abilities/heroes/"&amp;LEFT(A131,LEN(A131)-2)&amp;"/"&amp;A131</f>
        <v>abilities/heroes/void_spirit/void_spirit_4</v>
      </c>
      <c r="E131" s="1" t="str">
        <f t="shared" ref="E131" si="60">A131</f>
        <v>void_spirit_4</v>
      </c>
      <c r="F131" s="1" t="s">
        <v>245</v>
      </c>
      <c r="I131" s="1">
        <v>8</v>
      </c>
      <c r="J131" s="1">
        <v>8</v>
      </c>
      <c r="K131" s="1">
        <v>24</v>
      </c>
      <c r="O131" s="1">
        <v>2</v>
      </c>
      <c r="P131" s="1">
        <v>12</v>
      </c>
      <c r="U131" s="1" t="s">
        <v>502</v>
      </c>
      <c r="W131" s="1" t="s">
        <v>89</v>
      </c>
      <c r="X131" s="1" t="s">
        <v>208</v>
      </c>
      <c r="Y131" s="1" t="s">
        <v>209</v>
      </c>
      <c r="Z131" s="1" t="s">
        <v>524</v>
      </c>
      <c r="AA131" s="8" t="s">
        <v>210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4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4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4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4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4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4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4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4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4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4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4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4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4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4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4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4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4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4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4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4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4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4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4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4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4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4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4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4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4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4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25EBE-4A9D-4D8D-9E31-D500C50B8010}">
  <sheetPr codeName="Sheet3"/>
  <dimension ref="A1:AR122"/>
  <sheetViews>
    <sheetView workbookViewId="0">
      <pane xSplit="2" ySplit="2" topLeftCell="AD41" activePane="bottomRight" state="frozen"/>
      <selection pane="topRight" activeCell="C1" sqref="C1"/>
      <selection pane="bottomLeft" activeCell="A3" sqref="A3"/>
      <selection pane="bottomRight" activeCell="AE45" sqref="AE45"/>
    </sheetView>
  </sheetViews>
  <sheetFormatPr defaultColWidth="9" defaultRowHeight="13.9" x14ac:dyDescent="0.4"/>
  <cols>
    <col min="1" max="1" width="17.1328125" style="1" bestFit="1" customWidth="1"/>
    <col min="2" max="2" width="10.73046875" style="1" bestFit="1" customWidth="1"/>
    <col min="3" max="3" width="9.265625" style="1" bestFit="1" customWidth="1"/>
    <col min="4" max="4" width="46.59765625" style="1" bestFit="1" customWidth="1"/>
    <col min="5" max="5" width="28.3984375" style="1" bestFit="1" customWidth="1"/>
    <col min="6" max="6" width="28.265625" style="1" bestFit="1" customWidth="1"/>
    <col min="7" max="7" width="30.46484375" style="1" bestFit="1" customWidth="1"/>
    <col min="8" max="8" width="16" style="1" bestFit="1" customWidth="1"/>
    <col min="9" max="9" width="8.73046875" style="1" bestFit="1" customWidth="1"/>
    <col min="10" max="10" width="13" style="1" bestFit="1" customWidth="1"/>
    <col min="11" max="11" width="21.86328125" style="1" bestFit="1" customWidth="1"/>
    <col min="12" max="12" width="29.59765625" style="1" bestFit="1" customWidth="1"/>
    <col min="13" max="13" width="15.3984375" style="1" bestFit="1" customWidth="1"/>
    <col min="14" max="14" width="14.265625" style="1" bestFit="1" customWidth="1"/>
    <col min="15" max="15" width="13.265625" style="1" bestFit="1" customWidth="1"/>
    <col min="16" max="16" width="23.265625" style="1" bestFit="1" customWidth="1"/>
    <col min="17" max="17" width="14.86328125" style="1" bestFit="1" customWidth="1"/>
    <col min="18" max="18" width="24.265625" style="1" bestFit="1" customWidth="1"/>
    <col min="19" max="19" width="18.265625" style="1" bestFit="1" customWidth="1"/>
    <col min="20" max="20" width="12.86328125" style="1" bestFit="1" customWidth="1"/>
    <col min="21" max="21" width="77.86328125" style="1" bestFit="1" customWidth="1"/>
    <col min="22" max="22" width="17.3984375" style="1" bestFit="1" customWidth="1"/>
    <col min="23" max="23" width="34.46484375" style="1" customWidth="1"/>
    <col min="24" max="24" width="34.46484375" style="1" bestFit="1" customWidth="1"/>
    <col min="25" max="25" width="51.1328125" style="1" bestFit="1" customWidth="1"/>
    <col min="26" max="26" width="33.86328125" style="1" bestFit="1" customWidth="1"/>
    <col min="27" max="27" width="23.46484375" style="8" bestFit="1" customWidth="1"/>
    <col min="28" max="28" width="28.86328125" style="8" bestFit="1" customWidth="1"/>
    <col min="29" max="29" width="92.73046875" style="8" bestFit="1" customWidth="1"/>
    <col min="30" max="30" width="82.265625" style="8" bestFit="1" customWidth="1"/>
    <col min="31" max="31" width="71.265625" style="8" bestFit="1" customWidth="1"/>
    <col min="32" max="32" width="61.46484375" style="8" bestFit="1" customWidth="1"/>
    <col min="33" max="33" width="59.1328125" style="8" bestFit="1" customWidth="1"/>
    <col min="34" max="34" width="74.73046875" style="8" bestFit="1" customWidth="1"/>
    <col min="35" max="35" width="51.46484375" style="10" bestFit="1" customWidth="1"/>
    <col min="36" max="36" width="48.3984375" style="10" bestFit="1" customWidth="1"/>
    <col min="37" max="37" width="70.46484375" style="10" bestFit="1" customWidth="1"/>
    <col min="38" max="38" width="22.73046875" style="10" bestFit="1" customWidth="1"/>
    <col min="39" max="39" width="74.73046875" style="10" bestFit="1" customWidth="1"/>
    <col min="40" max="40" width="16.73046875" style="10" bestFit="1" customWidth="1"/>
    <col min="41" max="41" width="13.73046875" style="10" bestFit="1" customWidth="1"/>
    <col min="42" max="42" width="12.86328125" style="1" bestFit="1" customWidth="1"/>
    <col min="43" max="43" width="25.59765625" style="1" bestFit="1" customWidth="1"/>
    <col min="44" max="44" width="13.59765625" style="1" bestFit="1" customWidth="1"/>
    <col min="45" max="16384" width="9" style="1"/>
  </cols>
  <sheetData>
    <row r="1" spans="1:44" s="4" customFormat="1" x14ac:dyDescent="0.4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4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4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4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4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4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4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4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4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4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4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4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4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4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4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4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4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4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4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4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4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4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4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4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4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4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4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4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4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4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4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4">
      <c r="D32" s="3"/>
      <c r="AC32" s="8">
        <v>50</v>
      </c>
      <c r="AD32" s="8">
        <v>2</v>
      </c>
      <c r="AE32" s="8">
        <v>3</v>
      </c>
    </row>
    <row r="33" spans="1:41" x14ac:dyDescent="0.4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4">
      <c r="D34" s="3"/>
      <c r="AC34" s="8">
        <v>50</v>
      </c>
      <c r="AD34" s="8">
        <v>2</v>
      </c>
      <c r="AE34" s="8">
        <v>3</v>
      </c>
    </row>
    <row r="35" spans="1:41" x14ac:dyDescent="0.4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4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4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4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4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4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4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4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4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4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4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4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4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4">
      <c r="D48" s="3"/>
      <c r="AC48" s="8">
        <v>50</v>
      </c>
      <c r="AD48" s="8" t="s">
        <v>362</v>
      </c>
    </row>
    <row r="49" spans="1:44" x14ac:dyDescent="0.4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4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4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4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4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4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4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4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4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4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4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4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4">
      <c r="AC62" s="8">
        <v>4</v>
      </c>
      <c r="AD62" s="8">
        <v>400</v>
      </c>
      <c r="AE62" s="8">
        <v>100</v>
      </c>
    </row>
    <row r="63" spans="1:44" x14ac:dyDescent="0.4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269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4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4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4">
      <c r="AC66" s="8">
        <v>30</v>
      </c>
      <c r="AD66" s="8" t="s">
        <v>416</v>
      </c>
      <c r="AE66" s="8" t="s">
        <v>653</v>
      </c>
      <c r="AF66" s="8" t="s">
        <v>423</v>
      </c>
      <c r="AG66" s="8">
        <v>0.3</v>
      </c>
    </row>
    <row r="67" spans="1:44" x14ac:dyDescent="0.4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4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4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4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4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4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4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4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4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4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4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4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4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4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4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4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4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4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4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4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4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4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4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4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4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4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4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4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4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4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4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4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4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4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4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4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4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4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4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4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4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4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4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4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4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4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6" x14ac:dyDescent="0.4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6" x14ac:dyDescent="0.4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6" x14ac:dyDescent="0.4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6" x14ac:dyDescent="0.4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6" x14ac:dyDescent="0.4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6" x14ac:dyDescent="0.4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6" x14ac:dyDescent="0.4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6" x14ac:dyDescent="0.4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6" x14ac:dyDescent="0.4">
      <c r="A121" s="1" t="s">
        <v>645</v>
      </c>
      <c r="B121" s="1" t="s">
        <v>626</v>
      </c>
      <c r="C121" s="1" t="s">
        <v>205</v>
      </c>
      <c r="D121" s="1" t="str">
        <f t="shared" ref="D121" si="49">"abilities/heroes/"&amp;LEFT(A121,LEN(A121)-2)&amp;"/"&amp;A121</f>
        <v>abilities/heroes/oracle/oracle_4</v>
      </c>
      <c r="E121" s="1" t="str">
        <f t="shared" ref="E12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6" x14ac:dyDescent="0.4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379B311E-0899-4132-B099-62087F213A4B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0B4A697-94E5-466D-8FDC-93207AEB4380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2021-01-04T14:49:01Z</dcterms:modified>
</cp:coreProperties>
</file>