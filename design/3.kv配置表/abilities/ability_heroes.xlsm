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3A8B9B53-C779-4F6B-A596-22066C0DD2FB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40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3" i="1" l="1"/>
  <c r="E75" i="1"/>
  <c r="E77" i="1"/>
  <c r="E81" i="1"/>
  <c r="E83" i="1"/>
  <c r="E79" i="1"/>
  <c r="E153" i="1" l="1"/>
  <c r="E155" i="1"/>
  <c r="E157" i="1"/>
  <c r="E159" i="1"/>
  <c r="E161" i="1"/>
  <c r="E163" i="1"/>
  <c r="D153" i="1"/>
  <c r="D155" i="1"/>
  <c r="D157" i="1"/>
  <c r="D159" i="1"/>
  <c r="D161" i="1"/>
  <c r="D163" i="1"/>
  <c r="E151" i="40"/>
  <c r="D151" i="40"/>
  <c r="E149" i="40"/>
  <c r="D149" i="40"/>
  <c r="E147" i="40"/>
  <c r="D147" i="40"/>
  <c r="E145" i="40"/>
  <c r="D145" i="40"/>
  <c r="E143" i="40"/>
  <c r="D143" i="40"/>
  <c r="E141" i="40"/>
  <c r="D141" i="40"/>
  <c r="E139" i="40"/>
  <c r="D139" i="40"/>
  <c r="E137" i="40"/>
  <c r="D137" i="40"/>
  <c r="E135" i="40"/>
  <c r="D135" i="40"/>
  <c r="E133" i="40"/>
  <c r="D133" i="40"/>
  <c r="E131" i="40"/>
  <c r="D131" i="40"/>
  <c r="E129" i="40"/>
  <c r="D129" i="40"/>
  <c r="E127" i="40"/>
  <c r="D127" i="40"/>
  <c r="E125" i="40"/>
  <c r="D125" i="40"/>
  <c r="E123" i="40"/>
  <c r="D123" i="40"/>
  <c r="E121" i="40"/>
  <c r="D121" i="40"/>
  <c r="E119" i="40"/>
  <c r="D119" i="40"/>
  <c r="E117" i="40"/>
  <c r="D117" i="40"/>
  <c r="E115" i="40"/>
  <c r="D115" i="40"/>
  <c r="E113" i="40"/>
  <c r="D113" i="40"/>
  <c r="E111" i="40"/>
  <c r="D111" i="40"/>
  <c r="E109" i="40"/>
  <c r="D109" i="40"/>
  <c r="E107" i="40"/>
  <c r="D107" i="40"/>
  <c r="E105" i="40"/>
  <c r="D105" i="40"/>
  <c r="E103" i="40"/>
  <c r="D103" i="40"/>
  <c r="E101" i="40"/>
  <c r="D101" i="40"/>
  <c r="E99" i="40"/>
  <c r="D99" i="40"/>
  <c r="E97" i="40"/>
  <c r="D97" i="40"/>
  <c r="E95" i="40"/>
  <c r="D95" i="40"/>
  <c r="E93" i="40"/>
  <c r="D93" i="40"/>
  <c r="E91" i="40"/>
  <c r="D91" i="40"/>
  <c r="E89" i="40"/>
  <c r="D89" i="40"/>
  <c r="E87" i="40"/>
  <c r="D87" i="40"/>
  <c r="E85" i="40"/>
  <c r="D85" i="40"/>
  <c r="E83" i="40"/>
  <c r="D83" i="40"/>
  <c r="E71" i="40"/>
  <c r="E69" i="40"/>
  <c r="D69" i="40"/>
  <c r="E67" i="40"/>
  <c r="D67" i="40"/>
  <c r="E65" i="40"/>
  <c r="D65" i="40"/>
  <c r="E63" i="40"/>
  <c r="D63" i="40"/>
  <c r="E61" i="40"/>
  <c r="D61" i="40"/>
  <c r="E59" i="40"/>
  <c r="E57" i="40"/>
  <c r="D57" i="40"/>
  <c r="E55" i="40"/>
  <c r="D55" i="40"/>
  <c r="E53" i="40"/>
  <c r="D53" i="40"/>
  <c r="E51" i="40"/>
  <c r="D51" i="40"/>
  <c r="E49" i="40"/>
  <c r="D49" i="40"/>
  <c r="D47" i="40"/>
  <c r="D45" i="40"/>
  <c r="D43" i="40"/>
  <c r="D41" i="40"/>
  <c r="D39" i="40"/>
  <c r="E21" i="40"/>
  <c r="D21" i="40"/>
  <c r="E19" i="40"/>
  <c r="D19" i="40"/>
  <c r="E17" i="40"/>
  <c r="D17" i="40"/>
  <c r="E15" i="40"/>
  <c r="D15" i="40"/>
  <c r="E13" i="40"/>
  <c r="D13" i="40"/>
  <c r="E11" i="40"/>
  <c r="D11" i="40"/>
  <c r="E9" i="40"/>
  <c r="D9" i="40"/>
  <c r="E7" i="40"/>
  <c r="D7" i="40"/>
  <c r="E5" i="40"/>
  <c r="D5" i="40"/>
  <c r="E3" i="40"/>
  <c r="D3" i="40"/>
  <c r="E141" i="1"/>
  <c r="E143" i="1"/>
  <c r="E145" i="1"/>
  <c r="E147" i="1"/>
  <c r="E149" i="1"/>
  <c r="E151" i="1"/>
  <c r="D143" i="1"/>
  <c r="D145" i="1"/>
  <c r="D147" i="1"/>
  <c r="D149" i="1"/>
  <c r="D151" i="1"/>
  <c r="E133" i="1"/>
  <c r="E135" i="1"/>
  <c r="E137" i="1"/>
  <c r="E139" i="1"/>
  <c r="D133" i="1"/>
  <c r="D135" i="1"/>
  <c r="D137" i="1"/>
  <c r="D139" i="1"/>
  <c r="D141" i="1"/>
  <c r="E129" i="1" l="1"/>
  <c r="E127" i="1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5" i="1" l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63" i="1" l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<sst xmlns="http://schemas.openxmlformats.org/spreadsheetml/2006/main" count="3361" uniqueCount="784">
  <si>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</si>
  <si>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</si>
  <si>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</si>
  <si>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</si>
  <si>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</si>
  <si>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</si>
  <si>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</si>
  <si>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</si>
  <si>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</si>
  <si>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</si>
  <si>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</si>
  <si>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</si>
  <si>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</si>
  <si>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</si>
  <si>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</si>
  <si>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</si>
  <si>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</si>
  <si>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</si>
  <si>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</si>
  <si>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</si>
  <si>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</si>
  <si>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</si>
  <si>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</si>
  <si>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</si>
  <si>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</si>
  <si>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</si>
  <si>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</si>
  <si>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</si>
  <si>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</si>
  <si>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</si>
  <si>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</si>
  <si>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</si>
  <si>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</si>
  <si>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</si>
  <si>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</si>
  <si>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</si>
  <si>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</si>
  <si>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</si>
  <si>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</si>
  <si>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</si>
  <si>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</si>
  <si>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</si>
  <si>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</si>
  <si>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</si>
  <si>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</si>
  <si>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</si>
  <si>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</si>
  <si>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</si>
  <si>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</si>
  <si>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</si>
  <si>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</si>
  <si>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</si>
  <si>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</si>
  <si>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</si>
  <si>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</si>
  <si>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</si>
  <si>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</si>
  <si>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</si>
  <si>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</si>
  <si>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</si>
  <si>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</si>
  <si>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</si>
  <si>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</si>
  <si>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</si>
  <si>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</si>
  <si>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</si>
  <si>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</si>
  <si>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</si>
  <si>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</si>
  <si>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</si>
  <si>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</si>
  <si>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</si>
  <si>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</si>
  <si>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</si>
  <si>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</si>
  <si>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</si>
  <si>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</si>
  <si>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</si>
  <si>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</si>
  <si>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</si>
  <si>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</si>
  <si>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</si>
  <si>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</si>
  <si>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</si>
  <si>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</si>
  <si>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</si>
  <si>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</si>
  <si>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</si>
  <si>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</si>
  <si>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</si>
  <si>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</si>
  <si>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</si>
  <si>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</si>
  <si>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</si>
  <si>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</si>
  <si>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</si>
  <si>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</si>
  <si>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</si>
  <si>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</si>
  <si>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</si>
  <si>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</si>
  <si>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</si>
  <si>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</si>
  <si>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</si>
  <si>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</si>
  <si>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</si>
  <si>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</si>
  <si>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</si>
  <si>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</si>
  <si>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</si>
  <si>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</si>
  <si>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</si>
  <si>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</si>
  <si>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</si>
  <si>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</si>
  <si>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</si>
  <si>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</si>
  <si>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</si>
  <si>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</si>
  <si>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</si>
  <si>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</si>
  <si>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</si>
  <si>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</si>
  <si>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</si>
  <si>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</si>
  <si>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</si>
  <si>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</si>
  <si>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</si>
  <si>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</si>
  <si>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</si>
  <si>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</si>
  <si>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</si>
  <si>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</si>
  <si>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</si>
  <si>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</si>
  <si>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</si>
  <si>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</si>
  <si>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</si>
  <si>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</si>
  <si>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</si>
  <si>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</si>
  <si>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</si>
  <si>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</si>
  <si>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</si>
  <si>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</si>
  <si>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</si>
  <si>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</si>
  <si>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</si>
  <si>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</si>
  <si>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</si>
  <si>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</si>
  <si>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</si>
  <si>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</si>
  <si>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</si>
  <si>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</si>
  <si>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</si>
  <si>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</si>
  <si>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</si>
  <si>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</si>
  <si>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</si>
  <si>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</si>
  <si>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</si>
  <si>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</si>
  <si>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</si>
  <si>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</si>
  <si>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</si>
  <si>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</si>
  <si>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</si>
  <si>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</si>
  <si>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</si>
  <si>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</si>
  <si>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</si>
  <si>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</si>
  <si>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</si>
  <si>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</si>
  <si>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</si>
  <si>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</si>
  <si>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</si>
  <si>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</si>
  <si>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</si>
  <si>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</si>
  <si>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</si>
  <si>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</si>
  <si>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</si>
  <si>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</si>
  <si>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</si>
  <si>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</si>
  <si>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</si>
  <si>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</si>
  <si>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</si>
  <si>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</si>
  <si>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</si>
  <si>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</si>
  <si>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</si>
  <si>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</si>
  <si>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</si>
  <si>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</si>
  <si>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</si>
  <si>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</si>
  <si>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</si>
  <si>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</si>
  <si>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</si>
  <si>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</si>
  <si>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</si>
  <si>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</si>
  <si>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</si>
  <si>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</si>
  <si>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</si>
  <si>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</si>
  <si>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</si>
  <si>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</si>
  <si>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</si>
  <si>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</si>
  <si>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</si>
  <si>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</si>
  <si>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</si>
  <si>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</si>
  <si>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</si>
  <si>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</si>
  <si>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</si>
  <si>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</si>
  <si>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</si>
  <si>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</si>
  <si>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</si>
  <si>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</si>
  <si>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</si>
  <si>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</si>
  <si>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</si>
  <si>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</si>
  <si>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</si>
  <si>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</si>
  <si>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</si>
  <si>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</si>
  <si>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</si>
  <si>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</si>
  <si>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</si>
  <si>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</si>
  <si>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</si>
  <si>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</si>
  <si>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</si>
  <si>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</si>
  <si>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</si>
  <si>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</si>
  <si>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</si>
  <si>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</si>
  <si>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</si>
  <si>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</si>
  <si>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</si>
  <si>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</si>
  <si>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</si>
  <si>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</si>
  <si>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</si>
  <si>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</si>
  <si>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</si>
  <si>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</si>
  <si>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</si>
  <si>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</si>
  <si>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</si>
  <si>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</si>
  <si>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</si>
  <si>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</si>
  <si>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</si>
  <si>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</si>
  <si>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</si>
  <si>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</si>
  <si>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</si>
  <si>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</si>
  <si>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</si>
  <si>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</si>
  <si>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</si>
  <si>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</si>
  <si>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</si>
  <si>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</si>
  <si>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</si>
  <si>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</si>
  <si>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</si>
  <si>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</si>
  <si>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</si>
  <si>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</si>
  <si>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</si>
  <si>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</si>
  <si>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</si>
  <si>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</si>
  <si>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</si>
  <si>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</si>
  <si>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</si>
  <si>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</si>
  <si>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</si>
  <si>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</si>
  <si>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</si>
  <si>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</si>
  <si>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</si>
  <si>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</si>
  <si>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</si>
  <si>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</si>
  <si>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</si>
  <si>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</si>
  <si>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</si>
  <si>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</si>
  <si>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</si>
  <si>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</si>
  <si>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</si>
  <si>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</si>
  <si>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</si>
  <si>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</si>
  <si>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</si>
  <si>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</si>
  <si>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</si>
  <si>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</si>
  <si>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</si>
  <si>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</si>
  <si>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</si>
  <si>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</si>
  <si>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</si>
  <si>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</si>
  <si>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</si>
  <si>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</si>
  <si>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</si>
  <si>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</si>
  <si>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</si>
  <si>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</si>
  <si>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</si>
  <si>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</si>
  <si>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</si>
  <si>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</si>
  <si>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</si>
  <si>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</si>
  <si>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</si>
  <si>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</si>
  <si>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</si>
  <si>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</si>
  <si>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</si>
  <si>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</si>
  <si>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</si>
  <si>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</si>
  <si>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</si>
  <si>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</si>
  <si>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</si>
  <si>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</si>
  <si>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</si>
  <si>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</si>
  <si>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</si>
  <si>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</si>
  <si>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</si>
  <si>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</si>
  <si>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</si>
  <si>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</si>
  <si>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</si>
  <si>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</si>
  <si>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</si>
  <si>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</si>
  <si>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</si>
  <si>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</si>
  <si>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</si>
  <si>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</si>
  <si>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</si>
  <si>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</si>
  <si>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</si>
  <si>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</si>
  <si>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</si>
  <si>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</si>
  <si>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</si>
  <si>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</si>
  <si>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</si>
  <si>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</si>
  <si>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</si>
  <si>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</si>
  <si>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</si>
  <si>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</si>
  <si>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</si>
  <si>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</si>
  <si>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</si>
  <si>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</si>
  <si>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</si>
  <si>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</si>
  <si>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</si>
  <si>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</si>
  <si>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</si>
  <si>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</si>
  <si>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</si>
  <si>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</si>
  <si>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</si>
  <si>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</si>
  <si>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</si>
  <si>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</si>
  <si>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</si>
  <si>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</si>
  <si>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</si>
  <si>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</si>
  <si>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</si>
  <si>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</si>
  <si>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</si>
  <si>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</si>
  <si>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</si>
  <si>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</si>
  <si>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</si>
  <si>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</si>
  <si>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</si>
  <si>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</si>
  <si>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</si>
  <si>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</si>
  <si>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</si>
  <si>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</si>
  <si>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</si>
  <si>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</si>
  <si>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</si>
  <si>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</si>
  <si>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</si>
  <si>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</si>
  <si>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</si>
  <si>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</si>
  <si>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</si>
  <si>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</si>
  <si>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</si>
  <si>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</si>
  <si>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</si>
  <si>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</si>
  <si>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</si>
  <si>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</si>
  <si>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</si>
  <si>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</si>
  <si>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</si>
  <si>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</si>
  <si>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</si>
  <si>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</si>
  <si>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</si>
  <si>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</si>
  <si>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</si>
  <si>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</si>
  <si>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</si>
  <si>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</si>
  <si>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</si>
  <si>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</si>
  <si>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</si>
  <si>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</si>
  <si>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</si>
  <si>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</si>
  <si>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</si>
  <si>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</si>
  <si>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</si>
  <si>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</si>
  <si>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</si>
  <si>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</si>
  <si>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</si>
  <si>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</si>
  <si>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</si>
  <si>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</si>
  <si>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</si>
  <si>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</si>
  <si>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</si>
  <si>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</si>
  <si>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</si>
  <si>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</si>
  <si>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</si>
  <si>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</si>
  <si>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</si>
  <si>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</si>
  <si>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</si>
  <si>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</si>
  <si>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</si>
  <si>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</si>
  <si>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</si>
  <si>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</si>
  <si>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</si>
  <si>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</si>
  <si>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</si>
  <si>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</si>
  <si>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</si>
  <si>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</si>
  <si>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</si>
  <si>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</si>
  <si>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</si>
  <si>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</si>
  <si>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</si>
  <si>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</si>
  <si>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</si>
  <si>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</si>
  <si>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</si>
  <si>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</si>
  <si>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</si>
  <si>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</si>
  <si>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</si>
  <si>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</si>
  <si>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</si>
  <si>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</si>
  <si>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</si>
  <si>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</si>
  <si>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</si>
  <si>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</si>
  <si>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</si>
  <si>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</si>
  <si>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</si>
  <si>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</si>
  <si>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</si>
  <si>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</si>
  <si>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</si>
  <si>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</si>
  <si>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</si>
  <si>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</si>
  <si>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</si>
  <si>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</si>
  <si>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</si>
  <si>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</si>
  <si>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</si>
  <si>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</si>
  <si>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</si>
  <si>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</si>
  <si>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</si>
  <si>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</si>
  <si>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</si>
  <si>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</si>
  <si>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</si>
  <si>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</si>
  <si>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</si>
  <si>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</si>
  <si>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</si>
  <si>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</si>
  <si>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</si>
  <si>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</si>
  <si>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</si>
  <si>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</si>
  <si>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</si>
  <si>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</si>
  <si>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</si>
  <si>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</si>
  <si>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</si>
  <si>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</si>
  <si>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</si>
  <si>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</si>
  <si>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</si>
  <si>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</si>
  <si>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</si>
  <si>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</si>
  <si>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</si>
  <si>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</si>
  <si>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</si>
  <si>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</si>
  <si>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</si>
  <si>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</si>
  <si>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</si>
  <si>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</si>
  <si>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</si>
  <si>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</si>
  <si>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</si>
  <si>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</si>
  <si>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</si>
  <si>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</si>
  <si>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</si>
  <si>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</si>
  <si>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</si>
  <si>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</si>
  <si>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</si>
  <si>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</si>
  <si>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</si>
  <si>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</si>
  <si>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</si>
  <si>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</si>
  <si>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</si>
  <si>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</si>
  <si>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</si>
  <si>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</si>
  <si>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</si>
  <si>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</si>
  <si>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</si>
  <si>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</si>
  <si>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</si>
  <si>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</si>
  <si>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</si>
  <si>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</si>
  <si>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</si>
  <si>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</si>
  <si>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</si>
  <si>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</si>
  <si>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</si>
  <si>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</si>
  <si>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</si>
  <si>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</si>
  <si>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</si>
  <si>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</si>
  <si>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</si>
  <si>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</si>
  <si>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</si>
  <si>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</si>
  <si>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</si>
  <si>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</si>
  <si>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</si>
  <si>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</si>
  <si>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</si>
  <si>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</si>
  <si>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</si>
  <si>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</si>
  <si>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</si>
  <si>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</si>
  <si>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</si>
  <si>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</si>
  <si>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</si>
  <si>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</si>
  <si>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</si>
  <si>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</si>
  <si>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</si>
  <si>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</si>
  <si>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</si>
  <si>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</si>
  <si>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</si>
  <si>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</si>
  <si>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</si>
  <si>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</si>
  <si>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</si>
  <si>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</si>
  <si>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</si>
  <si>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</si>
  <si>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</si>
  <si>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</si>
  <si>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</si>
  <si>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</si>
  <si>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</si>
  <si>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</si>
  <si>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</si>
  <si>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</si>
  <si>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</si>
  <si>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</si>
  <si>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</si>
  <si>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</si>
  <si>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</si>
  <si>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</si>
  <si>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</si>
  <si>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</si>
  <si>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</si>
  <si>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</si>
  <si>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</si>
  <si>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</si>
  <si>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</si>
  <si>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</si>
  <si>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</si>
  <si>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</si>
  <si>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</si>
  <si>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</si>
  <si>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</si>
  <si>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</si>
  <si>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</si>
  <si>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</si>
  <si>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</si>
  <si>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</si>
  <si>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</si>
  <si>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</si>
  <si>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</si>
  <si>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</si>
  <si>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</si>
  <si>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</si>
  <si>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</si>
  <si>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</si>
  <si>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</si>
  <si>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</si>
  <si>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</si>
  <si>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</si>
  <si>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</si>
  <si>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</si>
  <si>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</si>
  <si>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</si>
  <si>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</si>
  <si>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</si>
  <si>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</si>
  <si>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</si>
  <si>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</si>
  <si>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</si>
  <si>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</si>
  <si>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</si>
  <si>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</si>
  <si>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</si>
  <si>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</si>
  <si>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</si>
  <si>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min_travel_distance</t>
    <phoneticPr fontId="1" type="noConversion"/>
  </si>
  <si>
    <t>max_travel_distance</t>
    <phoneticPr fontId="1" type="noConversion"/>
  </si>
  <si>
    <t>pop_damage_delay</t>
    <phoneticPr fontId="1" type="noConversion"/>
  </si>
  <si>
    <t>movement_slow_pct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</si>
  <si>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</si>
  <si>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</si>
  <si>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search_radius</t>
    <phoneticPr fontId="1" type="noConversion"/>
  </si>
  <si>
    <t>400 800 1200 1600 2000 2400 2800 3200 3600 4000 4400 4800 5200 5600 6000 6400 6800 7200 7600 8000</t>
    <phoneticPr fontId="1" type="noConversion"/>
  </si>
  <si>
    <t>health_reduce_pct</t>
    <phoneticPr fontId="1" type="noConversion"/>
  </si>
  <si>
    <t>2000 4000 6000 8000 10000 12000 14000 16000 18000 20000 22000 24000 26000 28000 30000 32000 34000 36000 38000 40000</t>
    <phoneticPr fontId="1" type="noConversion"/>
  </si>
  <si>
    <t>ACT_DOTA_MK_STRIKE</t>
    <phoneticPr fontId="1" type="noConversion"/>
  </si>
  <si>
    <t>20 30 40 50 60 70 80 90 100 110 120 130 140 150 160 170 180 190 200 210</t>
    <phoneticPr fontId="1" type="noConversion"/>
  </si>
  <si>
    <t>40 50 60 70 80 90 100 110 120 130 140 150 160 170 180 190 200 210 220 230</t>
    <phoneticPr fontId="1" type="noConversion"/>
  </si>
  <si>
    <t>damage_reduce</t>
    <phoneticPr fontId="1" type="noConversion"/>
  </si>
  <si>
    <t>damage_reduce_percent</t>
    <phoneticPr fontId="1" type="noConversion"/>
  </si>
  <si>
    <t>2.5 5 7.5 10 12.5 15 17.5 20 22.5 25 27.5 30 32.5 35 37.5 40 42.5 45 47.5 50</t>
    <phoneticPr fontId="1" type="noConversion"/>
  </si>
  <si>
    <t>thump_damage</t>
    <phoneticPr fontId="1" type="noConversion"/>
  </si>
  <si>
    <t>40 80 120 160 200 240 280 320</t>
    <phoneticPr fontId="1" type="noConversion"/>
  </si>
  <si>
    <t>damage_deep</t>
    <phoneticPr fontId="1" type="noConversion"/>
  </si>
  <si>
    <t>bonus_armor</t>
    <phoneticPr fontId="1" type="noConversion"/>
  </si>
  <si>
    <t>10 15 20 25 30 35 40 45 50 55 60 65 70 75 80 85 90 95 100 105</t>
    <phoneticPr fontId="1" type="noConversion"/>
  </si>
  <si>
    <t>thump_radius</t>
    <phoneticPr fontId="1" type="noConversion"/>
  </si>
  <si>
    <t>strike_damage</t>
    <phoneticPr fontId="1" type="noConversion"/>
  </si>
  <si>
    <t>thump_duration</t>
    <phoneticPr fontId="1" type="noConversion"/>
  </si>
  <si>
    <t>miss</t>
    <phoneticPr fontId="1" type="noConversion"/>
  </si>
  <si>
    <t>crush_damage</t>
    <phoneticPr fontId="1" type="noConversion"/>
  </si>
  <si>
    <t>crush_radius</t>
    <phoneticPr fontId="1" type="noConversion"/>
  </si>
  <si>
    <t>crush_duration</t>
    <phoneticPr fontId="1" type="noConversion"/>
  </si>
  <si>
    <t>cleave_damage</t>
    <phoneticPr fontId="1" type="noConversion"/>
  </si>
  <si>
    <t>60 80 100 120 140 160 180 200 220 240 260 280 300 320 340 360 380 400 420 440</t>
    <phoneticPr fontId="1" type="noConversion"/>
  </si>
  <si>
    <t>6.5 7 7.5 8 8.5 9 9.5 10 10.5 11 11.5 12 12.5 13 13.5 14 14.5 15 15.5 16</t>
    <phoneticPr fontId="1" type="noConversion"/>
  </si>
  <si>
    <t>火眼金睛</t>
    <phoneticPr fontId="1" type="noConversion"/>
  </si>
  <si>
    <t>无尽攻势</t>
    <phoneticPr fontId="1" type="noConversion"/>
  </si>
  <si>
    <t>定海神针</t>
    <phoneticPr fontId="1" type="noConversion"/>
  </si>
  <si>
    <t>大闹天宫</t>
    <phoneticPr fontId="1" type="noConversion"/>
  </si>
  <si>
    <t>金刚不坏</t>
    <phoneticPr fontId="1" type="noConversion"/>
  </si>
  <si>
    <t>monkey_king_0</t>
    <phoneticPr fontId="1" type="noConversion"/>
  </si>
  <si>
    <t>summon_count</t>
    <phoneticPr fontId="1" type="noConversion"/>
  </si>
  <si>
    <t>cleave_radius</t>
    <phoneticPr fontId="1" type="noConversion"/>
  </si>
  <si>
    <t>pure_pct</t>
    <phoneticPr fontId="1" type="noConversion"/>
  </si>
  <si>
    <t>20 30 40 50 60 70 80 90</t>
    <phoneticPr fontId="1" type="noConversion"/>
  </si>
  <si>
    <t>scepter_counter_duration</t>
    <phoneticPr fontId="1" type="noConversion"/>
  </si>
  <si>
    <t>scepter_counter_attack</t>
    <phoneticPr fontId="1" type="noConversion"/>
  </si>
  <si>
    <t>scepter_critical</t>
    <phoneticPr fontId="1" type="noConversion"/>
  </si>
  <si>
    <t>monkey_king_1</t>
    <phoneticPr fontId="1" type="noConversion"/>
  </si>
  <si>
    <t>monkey_king_2</t>
    <phoneticPr fontId="1" type="noConversion"/>
  </si>
  <si>
    <t>monkey_king_3</t>
    <phoneticPr fontId="1" type="noConversion"/>
  </si>
  <si>
    <t>monkey_king_4</t>
    <phoneticPr fontId="1" type="noConversion"/>
  </si>
  <si>
    <t>lina_0</t>
    <phoneticPr fontId="1" type="noConversion"/>
  </si>
  <si>
    <t>lina_1</t>
    <phoneticPr fontId="1" type="noConversion"/>
  </si>
  <si>
    <t>lina_2</t>
    <phoneticPr fontId="1" type="noConversion"/>
  </si>
  <si>
    <t>lina_3</t>
    <phoneticPr fontId="1" type="noConversion"/>
  </si>
  <si>
    <t>lina_4</t>
    <phoneticPr fontId="1" type="noConversion"/>
  </si>
  <si>
    <t>0.25 0.5 0.75 1.0 1.25 1.5 1.75 2 2.25 2.5 2.75 3.0 3.25 3.5 3.75 4.0 4.25 4.5 4.75 5.0</t>
    <phoneticPr fontId="1" type="noConversion"/>
  </si>
  <si>
    <t>12 24 36 48 60 72 84 96</t>
    <phoneticPr fontId="1" type="noConversion"/>
  </si>
  <si>
    <t>reduce</t>
    <phoneticPr fontId="1" type="noConversion"/>
  </si>
  <si>
    <t>1.25 1.5 1.75 2 2.25 2.5 2.75 3</t>
    <phoneticPr fontId="1" type="noConversion"/>
  </si>
  <si>
    <t>ignite_count</t>
    <phoneticPr fontId="1" type="noConversion"/>
  </si>
  <si>
    <t>wave_count</t>
    <phoneticPr fontId="1" type="noConversion"/>
  </si>
  <si>
    <t>count_per_wave</t>
    <phoneticPr fontId="1" type="noConversion"/>
  </si>
  <si>
    <t>miss_duration</t>
    <phoneticPr fontId="1" type="noConversion"/>
  </si>
  <si>
    <t>炽红莲</t>
    <phoneticPr fontId="1" type="noConversion"/>
  </si>
  <si>
    <t>极光</t>
    <phoneticPr fontId="1" type="noConversion"/>
  </si>
  <si>
    <t>点燃</t>
    <phoneticPr fontId="1" type="noConversion"/>
  </si>
  <si>
    <t>混乱之雨</t>
    <phoneticPr fontId="1" type="noConversion"/>
  </si>
  <si>
    <t>火蝴蝶</t>
    <phoneticPr fontId="1" type="noConversion"/>
  </si>
  <si>
    <t>tick_damage</t>
    <phoneticPr fontId="1" type="noConversion"/>
  </si>
  <si>
    <t>scepter_meteor_damage_pct</t>
    <phoneticPr fontId="1" type="noConversion"/>
  </si>
  <si>
    <t>1|2</t>
    <phoneticPr fontId="1" type="noConversion"/>
  </si>
  <si>
    <t>juggernaut_0_juggernaut_01</t>
    <phoneticPr fontId="1" type="noConversion"/>
  </si>
  <si>
    <t>鬼斩</t>
    <phoneticPr fontId="1" type="noConversion"/>
  </si>
  <si>
    <t>threshold</t>
    <phoneticPr fontId="1" type="noConversion"/>
  </si>
  <si>
    <t>DOTA_ABILITY_BEHAVIOR_IMMEDIATE | DOTA_ABILITY_BEHAVIOR_UNIT_TARGET</t>
    <phoneticPr fontId="1" type="noConversion"/>
  </si>
  <si>
    <t>鬼灭之刃</t>
    <phoneticPr fontId="1" type="noConversion"/>
  </si>
  <si>
    <t>juggernaut_1_juggernaut_01</t>
    <phoneticPr fontId="1" type="noConversion"/>
  </si>
  <si>
    <t>abilities/heroes/juggernaut/juggernaut_01/juggernaut_0_juggernaut_01</t>
    <phoneticPr fontId="1" type="noConversion"/>
  </si>
  <si>
    <t>abilities/heroes/juggernaut/juggernaut_01/juggernaut_1_juggernaut_01</t>
    <phoneticPr fontId="1" type="noConversion"/>
  </si>
  <si>
    <t>juggernaut/bladekeeper/juggernaut_omni_slash</t>
    <phoneticPr fontId="1" type="noConversion"/>
  </si>
  <si>
    <t>juggernaut/ti8_immortal_weapon/juggernaut_blade_fury_immortal</t>
    <phoneticPr fontId="1" type="noConversion"/>
  </si>
  <si>
    <t>juggernaut_4_juggernaut_01</t>
    <phoneticPr fontId="1" type="noConversion"/>
  </si>
  <si>
    <t>ACT_DOTA_GENERIC_CHANNEL_1</t>
    <phoneticPr fontId="1" type="noConversion"/>
  </si>
  <si>
    <t>juggernaut_2_juggernaut_01</t>
    <phoneticPr fontId="1" type="noConversion"/>
  </si>
  <si>
    <t>juggernaut_3_juggernaut_01</t>
    <phoneticPr fontId="1" type="noConversion"/>
  </si>
  <si>
    <t>鬼面无常</t>
    <phoneticPr fontId="1" type="noConversion"/>
  </si>
  <si>
    <t>juggernaut_fall20_healingward</t>
    <phoneticPr fontId="1" type="noConversion"/>
  </si>
  <si>
    <t>invoker/dark_artistry/invoker_deafening_blast</t>
    <phoneticPr fontId="1" type="noConversion"/>
  </si>
  <si>
    <t>juggernaut/bladekeeper/juggernaut_blade_dance</t>
    <phoneticPr fontId="1" type="noConversion"/>
  </si>
  <si>
    <t>DOTA_ABILITY_BEHAVIOR_POINT | DOTA_ABILITY_BEHAVIOR_UNIT_TARGET</t>
    <phoneticPr fontId="1" type="noConversion"/>
  </si>
  <si>
    <t>abilities/heroes/juggernaut/juggernaut_01/juggernaut_2_juggernaut_01</t>
    <phoneticPr fontId="1" type="noConversion"/>
  </si>
  <si>
    <t>abilities/heroes/juggernaut/juggernaut_01/juggernaut_3_juggernaut_01</t>
    <phoneticPr fontId="1" type="noConversion"/>
  </si>
  <si>
    <t>abilities/heroes/juggernaut/juggernaut_01/juggernaut_4_juggernaut_01</t>
    <phoneticPr fontId="1" type="noConversion"/>
  </si>
  <si>
    <t>property_pct</t>
    <phoneticPr fontId="1" type="noConversion"/>
  </si>
  <si>
    <t>43 46 49 52 55 58 61 64 67 70 73 76 79 82 85 88 91 94 97 100</t>
    <phoneticPr fontId="1" type="noConversion"/>
  </si>
  <si>
    <t>8</t>
    <phoneticPr fontId="1" type="noConversion"/>
  </si>
  <si>
    <t>16</t>
    <phoneticPr fontId="1" type="noConversion"/>
  </si>
  <si>
    <t>juggernaut_2_juggernaut_01_1</t>
    <phoneticPr fontId="1" type="noConversion"/>
  </si>
  <si>
    <t>融合</t>
    <phoneticPr fontId="1" type="noConversion"/>
  </si>
  <si>
    <t>abilities/heroes/juggernaut/juggernaut_01/juggernaut_2_juggernaut_01_1</t>
    <phoneticPr fontId="1" type="noConversion"/>
  </si>
  <si>
    <t>DOTA_UNIT_TARGET_HERO</t>
    <phoneticPr fontId="1" type="noConversion"/>
  </si>
  <si>
    <t>10</t>
    <phoneticPr fontId="1" type="noConversion"/>
  </si>
  <si>
    <t>300</t>
    <phoneticPr fontId="1" type="noConversion"/>
  </si>
  <si>
    <t>2000</t>
    <phoneticPr fontId="1" type="noConversion"/>
  </si>
  <si>
    <t>start_radius</t>
    <phoneticPr fontId="1" type="noConversion"/>
  </si>
  <si>
    <t>175</t>
    <phoneticPr fontId="1" type="noConversion"/>
  </si>
  <si>
    <t>end_radius</t>
    <phoneticPr fontId="1" type="noConversion"/>
  </si>
  <si>
    <t>225</t>
    <phoneticPr fontId="1" type="noConversion"/>
  </si>
  <si>
    <t>ACT_DOTA_TAUNT</t>
    <phoneticPr fontId="1" type="noConversion"/>
  </si>
  <si>
    <t>0.75</t>
    <phoneticPr fontId="1" type="noConversion"/>
  </si>
  <si>
    <t>0.3</t>
    <phoneticPr fontId="1" type="noConversion"/>
  </si>
  <si>
    <t>3.15</t>
    <phoneticPr fontId="1" type="noConversion"/>
  </si>
  <si>
    <t>wave_damage</t>
    <phoneticPr fontId="1" type="noConversion"/>
  </si>
  <si>
    <t>20 40 60 80 100 120 140 160</t>
    <phoneticPr fontId="1" type="noConversion"/>
  </si>
  <si>
    <t>1200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</si>
</sst>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0" fontId="0" fillId="3" borderId="4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  <xf numFmtId="49" fontId="0" fillId="0" borderId="0" xfId="0" applyNumberFormat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64"/>
  <sheetViews>
    <sheetView tabSelected="1" workbookViewId="0">
      <pane xSplit="2" ySplit="2" topLeftCell="AF71" activePane="bottomRight" state="frozen"/>
      <selection pane="topRight" activeCell="C1" sqref="C1"/>
      <selection pane="bottomLeft" activeCell="A3" sqref="A3"/>
      <selection pane="bottomRight" activeCell="AI83" sqref="AI83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67.625" style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744</v>
      </c>
      <c r="C73" s="1" t="s">
        <v>205</v>
      </c>
      <c r="D73" s="1" t="s">
        <v>746</v>
      </c>
      <c r="E73" s="1" t="str">
        <f>A73</f>
        <v>juggernaut_0_juggernaut_01</v>
      </c>
      <c r="F73" s="1" t="s">
        <v>206</v>
      </c>
      <c r="G73" s="1" t="s">
        <v>459</v>
      </c>
      <c r="I73" s="1">
        <v>1</v>
      </c>
      <c r="M73" s="1">
        <v>1200</v>
      </c>
      <c r="Q73" s="1">
        <v>8</v>
      </c>
      <c r="S73" s="1">
        <v>1</v>
      </c>
      <c r="T73" s="1">
        <v>1</v>
      </c>
      <c r="W73" s="1" t="s">
        <v>743</v>
      </c>
      <c r="X73" s="1" t="s">
        <v>208</v>
      </c>
      <c r="Y73" s="1" t="s">
        <v>209</v>
      </c>
      <c r="AC73" s="8" t="s">
        <v>742</v>
      </c>
      <c r="AD73" s="8" t="s">
        <v>320</v>
      </c>
      <c r="AE73" s="8" t="s">
        <v>232</v>
      </c>
      <c r="AR73" s="1">
        <v>6</v>
      </c>
    </row>
    <row r="74" spans="1:44" x14ac:dyDescent="0.2">
      <c r="AC74" s="8">
        <v>8</v>
      </c>
      <c r="AD74" s="8">
        <v>0.1</v>
      </c>
      <c r="AE74" s="8">
        <v>10</v>
      </c>
    </row>
    <row r="75" spans="1:44" x14ac:dyDescent="0.2">
      <c r="A75" s="1" t="s">
        <v>745</v>
      </c>
      <c r="B75" s="1" t="s">
        <v>741</v>
      </c>
      <c r="C75" s="1" t="s">
        <v>205</v>
      </c>
      <c r="D75" s="1" t="s">
        <v>747</v>
      </c>
      <c r="E75" s="1" t="str">
        <f t="shared" ref="E75:E78" si="26">A75</f>
        <v>juggernaut_1_juggernaut_01</v>
      </c>
      <c r="F75" s="1" t="s">
        <v>206</v>
      </c>
      <c r="G75" s="1" t="s">
        <v>459</v>
      </c>
      <c r="I75" s="1">
        <v>20</v>
      </c>
      <c r="J75" s="1">
        <v>1</v>
      </c>
      <c r="K75" s="1">
        <v>3</v>
      </c>
      <c r="L75" s="1" t="s">
        <v>410</v>
      </c>
      <c r="M75" s="1">
        <v>900</v>
      </c>
      <c r="N75" s="1">
        <v>0.15</v>
      </c>
      <c r="Q75" s="1">
        <v>6</v>
      </c>
      <c r="S75" s="1">
        <v>1</v>
      </c>
      <c r="T75" s="1">
        <v>1</v>
      </c>
      <c r="U75" s="1">
        <v>80</v>
      </c>
      <c r="W75" s="1" t="s">
        <v>88</v>
      </c>
      <c r="X75" s="1" t="s">
        <v>208</v>
      </c>
      <c r="Y75" s="1" t="s">
        <v>209</v>
      </c>
      <c r="AA75" s="8" t="s">
        <v>364</v>
      </c>
      <c r="AC75" s="8" t="s">
        <v>219</v>
      </c>
      <c r="AD75" s="8" t="s">
        <v>269</v>
      </c>
      <c r="AE75" s="8" t="s">
        <v>220</v>
      </c>
      <c r="AF75" s="8" t="s">
        <v>320</v>
      </c>
      <c r="AR75" s="1">
        <v>6</v>
      </c>
    </row>
    <row r="76" spans="1:44" x14ac:dyDescent="0.2">
      <c r="AC76" s="8" t="s">
        <v>343</v>
      </c>
      <c r="AD76" s="8" t="s">
        <v>354</v>
      </c>
      <c r="AE76" s="8">
        <v>450</v>
      </c>
      <c r="AF76" s="8">
        <v>0.1</v>
      </c>
    </row>
    <row r="77" spans="1:44" x14ac:dyDescent="0.2">
      <c r="A77" s="1" t="s">
        <v>752</v>
      </c>
      <c r="B77" s="1" t="s">
        <v>754</v>
      </c>
      <c r="C77" s="1" t="s">
        <v>205</v>
      </c>
      <c r="D77" s="1" t="s">
        <v>759</v>
      </c>
      <c r="E77" s="1" t="str">
        <f t="shared" ref="E77:E78" si="27">A77</f>
        <v>juggernaut_2_juggernaut_01</v>
      </c>
      <c r="F77" s="1" t="s">
        <v>206</v>
      </c>
      <c r="G77" s="1" t="s">
        <v>459</v>
      </c>
      <c r="I77" s="1">
        <v>20</v>
      </c>
      <c r="J77" s="1">
        <v>1</v>
      </c>
      <c r="K77" s="1">
        <v>3</v>
      </c>
      <c r="L77" s="1" t="s">
        <v>226</v>
      </c>
      <c r="M77" s="1">
        <v>3000</v>
      </c>
      <c r="Q77" s="1">
        <v>16</v>
      </c>
      <c r="U77" s="1">
        <v>80</v>
      </c>
      <c r="W77" s="1" t="s">
        <v>89</v>
      </c>
      <c r="X77" s="1" t="s">
        <v>227</v>
      </c>
      <c r="Y77" s="1" t="s">
        <v>209</v>
      </c>
      <c r="AA77" s="8" t="s">
        <v>364</v>
      </c>
      <c r="AC77" s="8" t="s">
        <v>762</v>
      </c>
      <c r="AD77" s="8" t="s">
        <v>232</v>
      </c>
      <c r="AR77" s="1">
        <v>6</v>
      </c>
    </row>
    <row r="78" spans="1:44" x14ac:dyDescent="0.2">
      <c r="AC78" s="8" t="s">
        <v>763</v>
      </c>
      <c r="AD78" s="8">
        <v>8</v>
      </c>
    </row>
    <row r="79" spans="1:44" x14ac:dyDescent="0.2">
      <c r="A79" s="1" t="s">
        <v>766</v>
      </c>
      <c r="B79" s="1" t="s">
        <v>767</v>
      </c>
      <c r="C79" s="1" t="s">
        <v>205</v>
      </c>
      <c r="D79" s="1" t="s">
        <v>768</v>
      </c>
      <c r="E79" s="1" t="str">
        <f>A79</f>
        <v>juggernaut_2_juggernaut_01_1</v>
      </c>
      <c r="F79" s="1" t="s">
        <v>206</v>
      </c>
      <c r="G79" s="1" t="s">
        <v>459</v>
      </c>
      <c r="I79" s="1">
        <v>1</v>
      </c>
      <c r="J79" s="1">
        <v>1</v>
      </c>
      <c r="K79" s="1">
        <v>3</v>
      </c>
      <c r="L79" s="1" t="s">
        <v>226</v>
      </c>
      <c r="M79" s="1">
        <v>6000</v>
      </c>
      <c r="U79" s="15"/>
      <c r="W79" s="1" t="s">
        <v>5</v>
      </c>
      <c r="X79" s="1" t="s">
        <v>227</v>
      </c>
      <c r="Y79" s="1" t="s">
        <v>769</v>
      </c>
      <c r="AC79" s="8" t="s">
        <v>273</v>
      </c>
      <c r="AD79" s="8" t="s">
        <v>762</v>
      </c>
      <c r="AE79" s="8" t="s">
        <v>232</v>
      </c>
      <c r="AR79" s="1">
        <v>6</v>
      </c>
    </row>
    <row r="80" spans="1:44" x14ac:dyDescent="0.2">
      <c r="AC80" s="8" t="s">
        <v>783</v>
      </c>
      <c r="AD80" s="8" t="s">
        <v>763</v>
      </c>
      <c r="AE80" s="8">
        <v>8</v>
      </c>
    </row>
    <row r="81" spans="1:44" x14ac:dyDescent="0.2">
      <c r="A81" s="1" t="s">
        <v>753</v>
      </c>
      <c r="B81" s="1" t="s">
        <v>741</v>
      </c>
      <c r="C81" s="1" t="s">
        <v>205</v>
      </c>
      <c r="D81" s="1" t="s">
        <v>760</v>
      </c>
      <c r="E81" s="1" t="str">
        <f t="shared" ref="E81:E84" si="28">A81</f>
        <v>juggernaut_3_juggernaut_01</v>
      </c>
      <c r="F81" s="1" t="s">
        <v>206</v>
      </c>
      <c r="G81" s="1" t="s">
        <v>459</v>
      </c>
      <c r="I81" s="1">
        <v>20</v>
      </c>
      <c r="J81" s="1">
        <v>1</v>
      </c>
      <c r="K81" s="1">
        <v>3</v>
      </c>
      <c r="L81" s="1" t="s">
        <v>410</v>
      </c>
      <c r="M81" s="1">
        <v>900</v>
      </c>
      <c r="Q81" s="1">
        <v>6</v>
      </c>
      <c r="S81" s="1">
        <v>1</v>
      </c>
      <c r="T81" s="1">
        <v>1</v>
      </c>
      <c r="U81" s="1">
        <v>80</v>
      </c>
      <c r="W81" s="1" t="s">
        <v>571</v>
      </c>
      <c r="X81" s="1" t="s">
        <v>208</v>
      </c>
      <c r="Y81" s="1" t="s">
        <v>209</v>
      </c>
      <c r="AA81" s="8" t="s">
        <v>364</v>
      </c>
      <c r="AC81" s="8" t="s">
        <v>232</v>
      </c>
      <c r="AD81" s="8" t="s">
        <v>219</v>
      </c>
      <c r="AE81" s="8" t="s">
        <v>269</v>
      </c>
      <c r="AF81" s="8" t="s">
        <v>272</v>
      </c>
      <c r="AG81" s="8" t="s">
        <v>773</v>
      </c>
      <c r="AH81" s="8" t="s">
        <v>775</v>
      </c>
      <c r="AR81" s="1">
        <v>6</v>
      </c>
    </row>
    <row r="82" spans="1:44" x14ac:dyDescent="0.2">
      <c r="AC82" s="8" t="s">
        <v>770</v>
      </c>
      <c r="AD82" s="8" t="s">
        <v>343</v>
      </c>
      <c r="AE82" s="8" t="s">
        <v>354</v>
      </c>
      <c r="AF82" s="8" t="s">
        <v>772</v>
      </c>
      <c r="AG82" s="8" t="s">
        <v>774</v>
      </c>
      <c r="AH82" s="8" t="s">
        <v>776</v>
      </c>
    </row>
    <row r="83" spans="1:44" x14ac:dyDescent="0.2">
      <c r="A83" s="1" t="s">
        <v>750</v>
      </c>
      <c r="B83" s="1" t="s">
        <v>435</v>
      </c>
      <c r="C83" s="1" t="s">
        <v>205</v>
      </c>
      <c r="D83" s="1" t="str">
        <f t="shared" ref="D83" si="29">"abilities/heroes/"&amp;LEFT(A83,LEN(A83)-2)&amp;"/"&amp;A83</f>
        <v>abilities/heroes/juggernaut_4_juggernaut_/juggernaut_4_juggernaut_01</v>
      </c>
      <c r="E83" s="1" t="str">
        <f t="shared" ref="E83:E84" si="30">A83</f>
        <v>juggernaut_4_juggernaut_01</v>
      </c>
      <c r="F83" s="1" t="s">
        <v>245</v>
      </c>
      <c r="G83" s="1" t="s">
        <v>460</v>
      </c>
      <c r="I83" s="1">
        <v>8</v>
      </c>
      <c r="J83" s="1">
        <v>8</v>
      </c>
      <c r="K83" s="1">
        <v>24</v>
      </c>
      <c r="L83" s="1" t="s">
        <v>777</v>
      </c>
      <c r="N83" s="1">
        <v>0.72</v>
      </c>
      <c r="Q83" s="1">
        <v>16</v>
      </c>
      <c r="U83" s="1">
        <v>110</v>
      </c>
      <c r="W83" s="1" t="s">
        <v>5</v>
      </c>
      <c r="X83" s="1" t="s">
        <v>208</v>
      </c>
      <c r="Y83" s="1" t="s">
        <v>209</v>
      </c>
      <c r="AA83" s="8" t="s">
        <v>364</v>
      </c>
      <c r="AC83" s="8" t="s">
        <v>288</v>
      </c>
      <c r="AD83" s="8" t="s">
        <v>220</v>
      </c>
      <c r="AE83" s="8" t="s">
        <v>320</v>
      </c>
      <c r="AF83" s="8" t="s">
        <v>781</v>
      </c>
      <c r="AG83" s="8" t="s">
        <v>272</v>
      </c>
      <c r="AH83" s="8" t="s">
        <v>773</v>
      </c>
      <c r="AI83" s="8" t="s">
        <v>775</v>
      </c>
      <c r="AK83" s="8" t="s">
        <v>318</v>
      </c>
      <c r="AL83" s="8" t="s">
        <v>232</v>
      </c>
      <c r="AM83" s="8" t="s">
        <v>219</v>
      </c>
      <c r="AN83" s="8" t="s">
        <v>269</v>
      </c>
      <c r="AR83" s="1">
        <v>9</v>
      </c>
    </row>
    <row r="84" spans="1:44" x14ac:dyDescent="0.2">
      <c r="AC84" s="8" t="s">
        <v>778</v>
      </c>
      <c r="AD84" s="8">
        <v>600</v>
      </c>
      <c r="AE84" s="8" t="s">
        <v>779</v>
      </c>
      <c r="AF84" s="8" t="s">
        <v>782</v>
      </c>
      <c r="AG84" s="8" t="s">
        <v>772</v>
      </c>
      <c r="AH84" s="8" t="s">
        <v>776</v>
      </c>
      <c r="AI84" s="8" t="s">
        <v>771</v>
      </c>
      <c r="AK84" s="8" t="s">
        <v>764</v>
      </c>
      <c r="AL84" s="8" t="s">
        <v>780</v>
      </c>
      <c r="AM84" s="8" t="s">
        <v>346</v>
      </c>
      <c r="AN84" s="8" t="s">
        <v>538</v>
      </c>
    </row>
    <row r="85" spans="1:44" x14ac:dyDescent="0.2">
      <c r="A85" s="1" t="s">
        <v>473</v>
      </c>
      <c r="B85" s="1" t="s">
        <v>474</v>
      </c>
      <c r="C85" s="1" t="s">
        <v>205</v>
      </c>
      <c r="D85" s="1" t="str">
        <f t="shared" ref="D85" si="31">"abilities/heroes/"&amp;LEFT(A85,LEN(A85)-2)&amp;"/"&amp;A85</f>
        <v>abilities/heroes/nevermore/nevermore_0</v>
      </c>
      <c r="E85" s="1" t="str">
        <f t="shared" si="21"/>
        <v>nevermore_0</v>
      </c>
      <c r="F85" s="1" t="s">
        <v>206</v>
      </c>
      <c r="I85" s="1">
        <v>1</v>
      </c>
      <c r="Q85" s="1">
        <v>1</v>
      </c>
      <c r="R85" s="1">
        <v>1</v>
      </c>
      <c r="S85" s="1">
        <v>1</v>
      </c>
      <c r="T85" s="1">
        <v>1</v>
      </c>
      <c r="W85" s="1" t="s">
        <v>0</v>
      </c>
      <c r="X85" s="1" t="s">
        <v>208</v>
      </c>
      <c r="Y85" s="1" t="s">
        <v>209</v>
      </c>
      <c r="AA85" s="8" t="s">
        <v>210</v>
      </c>
      <c r="AC85" s="8" t="s">
        <v>220</v>
      </c>
      <c r="AD85" s="8" t="s">
        <v>269</v>
      </c>
      <c r="AE85" s="8" t="s">
        <v>454</v>
      </c>
      <c r="AF85" s="8" t="s">
        <v>518</v>
      </c>
      <c r="AG85" s="8" t="s">
        <v>517</v>
      </c>
    </row>
    <row r="86" spans="1:44" x14ac:dyDescent="0.2">
      <c r="AC86" s="8">
        <v>250</v>
      </c>
      <c r="AD86" s="8">
        <v>5</v>
      </c>
      <c r="AE86" s="8">
        <v>0.5</v>
      </c>
      <c r="AF86" s="8">
        <v>90</v>
      </c>
      <c r="AG86" s="8">
        <v>30</v>
      </c>
    </row>
    <row r="87" spans="1:44" x14ac:dyDescent="0.2">
      <c r="A87" s="1" t="s">
        <v>495</v>
      </c>
      <c r="B87" s="1" t="s">
        <v>475</v>
      </c>
      <c r="C87" s="1" t="s">
        <v>205</v>
      </c>
      <c r="D87" s="1" t="str">
        <f t="shared" ref="D87" si="32">"abilities/heroes/"&amp;LEFT(A87,LEN(A87)-2)&amp;"/"&amp;A87</f>
        <v>abilities/heroes/nevermore/nevermore_1</v>
      </c>
      <c r="E87" s="1" t="str">
        <f t="shared" si="21"/>
        <v>nevermore_1</v>
      </c>
      <c r="F87" s="1" t="s">
        <v>206</v>
      </c>
      <c r="I87" s="1">
        <v>20</v>
      </c>
      <c r="J87" s="1">
        <v>1</v>
      </c>
      <c r="K87" s="1">
        <v>3</v>
      </c>
      <c r="L87" s="1" t="s">
        <v>499</v>
      </c>
      <c r="N87" s="1">
        <v>0.55000000000000004</v>
      </c>
      <c r="Q87" s="1">
        <v>8</v>
      </c>
      <c r="U87" s="1" t="s">
        <v>494</v>
      </c>
      <c r="W87" s="1" t="s">
        <v>479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503</v>
      </c>
      <c r="AF87" s="8" t="s">
        <v>480</v>
      </c>
      <c r="AG87" s="8" t="s">
        <v>488</v>
      </c>
      <c r="AH87" s="8" t="s">
        <v>490</v>
      </c>
      <c r="AI87" s="8" t="s">
        <v>481</v>
      </c>
      <c r="AJ87" s="8" t="s">
        <v>510</v>
      </c>
      <c r="AK87" s="8" t="s">
        <v>232</v>
      </c>
      <c r="AL87" s="8" t="s">
        <v>489</v>
      </c>
      <c r="AM87" s="8" t="s">
        <v>509</v>
      </c>
    </row>
    <row r="88" spans="1:44" x14ac:dyDescent="0.2">
      <c r="AC88" s="8" t="s">
        <v>515</v>
      </c>
      <c r="AD88" s="8" t="s">
        <v>347</v>
      </c>
      <c r="AE88" s="8">
        <v>300</v>
      </c>
      <c r="AF88" s="8">
        <v>3</v>
      </c>
      <c r="AG88" s="8" t="s">
        <v>493</v>
      </c>
      <c r="AH88" s="8">
        <v>30</v>
      </c>
      <c r="AI88" s="8">
        <v>10</v>
      </c>
      <c r="AJ88" s="8">
        <v>80</v>
      </c>
      <c r="AK88" s="8">
        <v>8</v>
      </c>
      <c r="AL88" s="8">
        <v>3</v>
      </c>
      <c r="AM88" s="8">
        <v>50</v>
      </c>
    </row>
    <row r="89" spans="1:44" x14ac:dyDescent="0.2">
      <c r="A89" s="1" t="s">
        <v>496</v>
      </c>
      <c r="B89" s="1" t="s">
        <v>477</v>
      </c>
      <c r="C89" s="1" t="s">
        <v>205</v>
      </c>
      <c r="D89" s="1" t="str">
        <f t="shared" ref="D89" si="33">"abilities/heroes/"&amp;LEFT(A89,LEN(A89)-2)&amp;"/"&amp;A89</f>
        <v>abilities/heroes/nevermore/nevermore_2</v>
      </c>
      <c r="E89" s="1" t="str">
        <f t="shared" si="21"/>
        <v>nevermore_2</v>
      </c>
      <c r="F89" s="1" t="s">
        <v>206</v>
      </c>
      <c r="I89" s="1">
        <v>20</v>
      </c>
      <c r="J89" s="1">
        <v>1</v>
      </c>
      <c r="K89" s="1">
        <v>3</v>
      </c>
      <c r="L89" s="1" t="s">
        <v>500</v>
      </c>
      <c r="N89" s="1">
        <v>0.55000000000000004</v>
      </c>
      <c r="Q89" s="1">
        <v>45</v>
      </c>
      <c r="S89" s="1">
        <v>1</v>
      </c>
      <c r="T89" s="1">
        <v>3</v>
      </c>
      <c r="U89" s="1" t="s">
        <v>218</v>
      </c>
      <c r="W89" s="1" t="s">
        <v>88</v>
      </c>
      <c r="X89" s="1" t="s">
        <v>208</v>
      </c>
      <c r="Y89" s="1" t="s">
        <v>209</v>
      </c>
      <c r="AA89" s="8" t="s">
        <v>210</v>
      </c>
      <c r="AC89" s="8" t="s">
        <v>219</v>
      </c>
      <c r="AD89" s="8" t="s">
        <v>269</v>
      </c>
      <c r="AE89" s="8" t="s">
        <v>231</v>
      </c>
      <c r="AF89" s="8" t="s">
        <v>403</v>
      </c>
      <c r="AG89" s="8" t="s">
        <v>312</v>
      </c>
      <c r="AH89" s="8" t="s">
        <v>232</v>
      </c>
      <c r="AI89" s="8" t="s">
        <v>220</v>
      </c>
      <c r="AJ89" s="8" t="s">
        <v>233</v>
      </c>
    </row>
    <row r="90" spans="1:44" x14ac:dyDescent="0.2">
      <c r="AC90" s="8" t="s">
        <v>343</v>
      </c>
      <c r="AD90" s="8" t="s">
        <v>354</v>
      </c>
      <c r="AE90" s="8" t="s">
        <v>516</v>
      </c>
      <c r="AF90" s="8">
        <v>40</v>
      </c>
      <c r="AG90" s="8">
        <v>20</v>
      </c>
      <c r="AH90" s="8">
        <v>16</v>
      </c>
      <c r="AI90" s="8">
        <v>900</v>
      </c>
      <c r="AJ90" s="8">
        <v>0.5</v>
      </c>
    </row>
    <row r="91" spans="1:44" x14ac:dyDescent="0.2">
      <c r="A91" s="1" t="s">
        <v>497</v>
      </c>
      <c r="B91" s="1" t="s">
        <v>478</v>
      </c>
      <c r="C91" s="1" t="s">
        <v>205</v>
      </c>
      <c r="D91" s="1" t="str">
        <f t="shared" ref="D91" si="34">"abilities/heroes/"&amp;LEFT(A91,LEN(A91)-2)&amp;"/"&amp;A91</f>
        <v>abilities/heroes/nevermore/nevermore_3</v>
      </c>
      <c r="E91" s="1" t="str">
        <f t="shared" si="21"/>
        <v>nevermore_3</v>
      </c>
      <c r="F91" s="1" t="s">
        <v>206</v>
      </c>
      <c r="I91" s="1">
        <v>20</v>
      </c>
      <c r="J91" s="1">
        <v>1</v>
      </c>
      <c r="K91" s="1">
        <v>3</v>
      </c>
      <c r="S91" s="1">
        <v>1</v>
      </c>
      <c r="T91" s="1">
        <v>4</v>
      </c>
      <c r="W91" s="1" t="s">
        <v>492</v>
      </c>
      <c r="AA91" s="8" t="s">
        <v>210</v>
      </c>
      <c r="AC91" s="8" t="s">
        <v>482</v>
      </c>
      <c r="AD91" s="8" t="s">
        <v>254</v>
      </c>
      <c r="AE91" s="8" t="s">
        <v>483</v>
      </c>
      <c r="AF91" s="8" t="s">
        <v>238</v>
      </c>
    </row>
    <row r="92" spans="1:44" x14ac:dyDescent="0.2">
      <c r="AC92" s="8" t="s">
        <v>354</v>
      </c>
      <c r="AD92" s="8" t="s">
        <v>348</v>
      </c>
      <c r="AE92" s="8">
        <v>2</v>
      </c>
      <c r="AF92" s="8" t="s">
        <v>340</v>
      </c>
    </row>
    <row r="93" spans="1:44" x14ac:dyDescent="0.2">
      <c r="A93" s="1" t="s">
        <v>498</v>
      </c>
      <c r="B93" s="1" t="s">
        <v>476</v>
      </c>
      <c r="C93" s="1" t="s">
        <v>205</v>
      </c>
      <c r="D93" s="1" t="str">
        <f t="shared" ref="D93" si="35">"abilities/heroes/"&amp;LEFT(A93,LEN(A93)-2)&amp;"/"&amp;A93</f>
        <v>abilities/heroes/nevermore/nevermore_4</v>
      </c>
      <c r="E93" s="1" t="str">
        <f t="shared" si="21"/>
        <v>nevermore_4</v>
      </c>
      <c r="F93" s="1" t="s">
        <v>245</v>
      </c>
      <c r="I93" s="1">
        <v>8</v>
      </c>
      <c r="J93" s="1">
        <v>8</v>
      </c>
      <c r="K93" s="1">
        <v>24</v>
      </c>
      <c r="L93" s="1" t="s">
        <v>501</v>
      </c>
      <c r="N93" s="1">
        <v>1.67</v>
      </c>
      <c r="Q93" s="1">
        <v>50</v>
      </c>
      <c r="S93" s="1">
        <v>1</v>
      </c>
      <c r="T93" s="1">
        <v>2</v>
      </c>
      <c r="U93" s="1" t="s">
        <v>502</v>
      </c>
      <c r="W93" s="1" t="s">
        <v>88</v>
      </c>
      <c r="X93" s="1" t="s">
        <v>208</v>
      </c>
      <c r="Y93" s="1" t="s">
        <v>209</v>
      </c>
      <c r="AA93" s="8" t="s">
        <v>210</v>
      </c>
      <c r="AC93" s="8" t="s">
        <v>219</v>
      </c>
      <c r="AD93" s="8" t="s">
        <v>269</v>
      </c>
      <c r="AE93" s="8" t="s">
        <v>485</v>
      </c>
      <c r="AF93" s="8" t="s">
        <v>272</v>
      </c>
      <c r="AG93" s="8" t="s">
        <v>486</v>
      </c>
      <c r="AH93" s="8" t="s">
        <v>487</v>
      </c>
      <c r="AI93" s="8" t="s">
        <v>504</v>
      </c>
      <c r="AJ93" s="8" t="s">
        <v>505</v>
      </c>
      <c r="AK93" s="8" t="s">
        <v>511</v>
      </c>
      <c r="AL93" s="8" t="s">
        <v>512</v>
      </c>
      <c r="AM93" s="8" t="s">
        <v>513</v>
      </c>
      <c r="AN93" s="8" t="s">
        <v>514</v>
      </c>
    </row>
    <row r="94" spans="1:44" x14ac:dyDescent="0.2">
      <c r="AC94" s="8" t="s">
        <v>508</v>
      </c>
      <c r="AD94" s="8" t="s">
        <v>484</v>
      </c>
      <c r="AE94" s="8">
        <v>24</v>
      </c>
      <c r="AF94" s="8">
        <v>1200</v>
      </c>
      <c r="AG94" s="8">
        <v>3.6</v>
      </c>
      <c r="AH94" s="8">
        <v>125</v>
      </c>
      <c r="AI94" s="8">
        <v>350</v>
      </c>
      <c r="AJ94" s="8">
        <v>700</v>
      </c>
      <c r="AK94" s="8">
        <v>30</v>
      </c>
      <c r="AL94" s="8">
        <v>0.1</v>
      </c>
      <c r="AM94" s="8">
        <v>0.25</v>
      </c>
      <c r="AN94" s="8">
        <v>0.2</v>
      </c>
    </row>
    <row r="95" spans="1:44" x14ac:dyDescent="0.2">
      <c r="A95" s="1" t="s">
        <v>519</v>
      </c>
      <c r="B95" s="1" t="s">
        <v>520</v>
      </c>
      <c r="C95" s="1" t="s">
        <v>205</v>
      </c>
      <c r="D95" s="1" t="str">
        <f t="shared" ref="D95" si="36">"abilities/heroes/"&amp;LEFT(A95,LEN(A95)-2)&amp;"/"&amp;A95</f>
        <v>abilities/heroes/rubick/rubick_0</v>
      </c>
      <c r="E95" s="1" t="str">
        <f t="shared" si="21"/>
        <v>rubick_0</v>
      </c>
      <c r="F95" s="1" t="s">
        <v>206</v>
      </c>
      <c r="I95" s="1">
        <v>1</v>
      </c>
      <c r="S95" s="1">
        <v>1</v>
      </c>
      <c r="T95" s="1">
        <v>1</v>
      </c>
      <c r="W95" s="1" t="s">
        <v>0</v>
      </c>
      <c r="X95" s="1" t="s">
        <v>208</v>
      </c>
      <c r="Y95" s="1" t="s">
        <v>209</v>
      </c>
      <c r="Z95" s="1" t="s">
        <v>524</v>
      </c>
      <c r="AA95" s="8" t="s">
        <v>210</v>
      </c>
      <c r="AB95" s="8" t="s">
        <v>412</v>
      </c>
      <c r="AC95" s="8" t="s">
        <v>269</v>
      </c>
      <c r="AD95" s="8" t="s">
        <v>539</v>
      </c>
      <c r="AE95" s="8" t="s">
        <v>220</v>
      </c>
      <c r="AF95" s="8" t="s">
        <v>541</v>
      </c>
      <c r="AG95" s="8" t="s">
        <v>550</v>
      </c>
      <c r="AH95" s="8" t="s">
        <v>551</v>
      </c>
      <c r="AI95" s="8" t="s">
        <v>552</v>
      </c>
    </row>
    <row r="96" spans="1:44" x14ac:dyDescent="0.2">
      <c r="AC96" s="8">
        <v>10</v>
      </c>
      <c r="AD96" s="8">
        <v>5</v>
      </c>
      <c r="AE96" s="8">
        <v>200</v>
      </c>
      <c r="AF96" s="8">
        <v>50</v>
      </c>
      <c r="AG96" s="8">
        <v>5</v>
      </c>
      <c r="AH96" s="8">
        <v>5</v>
      </c>
      <c r="AI96" s="8">
        <v>500</v>
      </c>
    </row>
    <row r="97" spans="1:39" x14ac:dyDescent="0.2">
      <c r="A97" s="1" t="s">
        <v>526</v>
      </c>
      <c r="B97" s="1" t="s">
        <v>530</v>
      </c>
      <c r="C97" s="1" t="s">
        <v>205</v>
      </c>
      <c r="D97" s="1" t="str">
        <f t="shared" ref="D97" si="37">"abilities/heroes/"&amp;LEFT(A97,LEN(A97)-2)&amp;"/"&amp;A97</f>
        <v>abilities/heroes/rubick/rubick_1</v>
      </c>
      <c r="E97" s="1" t="str">
        <f t="shared" si="21"/>
        <v>rubick_1</v>
      </c>
      <c r="F97" s="1" t="s">
        <v>206</v>
      </c>
      <c r="G97" s="1" t="s">
        <v>460</v>
      </c>
      <c r="I97" s="1">
        <v>20</v>
      </c>
      <c r="J97" s="1">
        <v>1</v>
      </c>
      <c r="K97" s="1">
        <v>3</v>
      </c>
      <c r="L97" s="1" t="s">
        <v>448</v>
      </c>
      <c r="M97" s="1">
        <v>1400</v>
      </c>
      <c r="Q97" s="1">
        <v>13</v>
      </c>
      <c r="U97" s="1" t="s">
        <v>218</v>
      </c>
      <c r="W97" s="1" t="s">
        <v>308</v>
      </c>
      <c r="X97" s="1" t="s">
        <v>208</v>
      </c>
      <c r="Y97" s="1" t="s">
        <v>209</v>
      </c>
      <c r="AA97" s="8" t="s">
        <v>210</v>
      </c>
      <c r="AC97" s="8" t="s">
        <v>219</v>
      </c>
      <c r="AD97" s="8" t="s">
        <v>537</v>
      </c>
      <c r="AE97" s="8" t="s">
        <v>523</v>
      </c>
      <c r="AF97" s="8" t="s">
        <v>522</v>
      </c>
      <c r="AG97" s="8" t="s">
        <v>542</v>
      </c>
      <c r="AH97" s="8" t="s">
        <v>220</v>
      </c>
      <c r="AI97" s="8" t="s">
        <v>320</v>
      </c>
      <c r="AJ97" s="8" t="s">
        <v>211</v>
      </c>
    </row>
    <row r="98" spans="1:39" x14ac:dyDescent="0.2">
      <c r="AC98" s="8" t="s">
        <v>343</v>
      </c>
      <c r="AD98" s="8" t="s">
        <v>354</v>
      </c>
      <c r="AE98" s="8">
        <v>0.6</v>
      </c>
      <c r="AF98" s="8">
        <v>2</v>
      </c>
      <c r="AG98" s="8" t="s">
        <v>347</v>
      </c>
      <c r="AH98" s="8">
        <v>500</v>
      </c>
      <c r="AI98" s="8">
        <v>0.1</v>
      </c>
      <c r="AJ98" s="8">
        <v>1.5</v>
      </c>
    </row>
    <row r="99" spans="1:39" x14ac:dyDescent="0.2">
      <c r="A99" s="1" t="s">
        <v>527</v>
      </c>
      <c r="B99" s="1" t="s">
        <v>531</v>
      </c>
      <c r="C99" s="1" t="s">
        <v>205</v>
      </c>
      <c r="D99" s="1" t="str">
        <f t="shared" ref="D99" si="38">"abilities/heroes/"&amp;LEFT(A99,LEN(A99)-2)&amp;"/"&amp;A99</f>
        <v>abilities/heroes/rubick/rubick_2</v>
      </c>
      <c r="E99" s="1" t="str">
        <f t="shared" si="21"/>
        <v>rubick_2</v>
      </c>
      <c r="F99" s="1" t="s">
        <v>206</v>
      </c>
      <c r="I99" s="1">
        <v>20</v>
      </c>
      <c r="J99" s="1">
        <v>1</v>
      </c>
      <c r="K99" s="1">
        <v>3</v>
      </c>
      <c r="L99" s="1" t="s">
        <v>545</v>
      </c>
      <c r="M99" s="1">
        <v>3000</v>
      </c>
      <c r="O99" s="1">
        <v>3</v>
      </c>
      <c r="P99" s="1">
        <v>8</v>
      </c>
      <c r="S99" s="1">
        <v>1</v>
      </c>
      <c r="T99" s="1">
        <v>2</v>
      </c>
      <c r="U99" s="1" t="s">
        <v>534</v>
      </c>
      <c r="W99" s="1" t="s">
        <v>308</v>
      </c>
      <c r="X99" s="1" t="s">
        <v>208</v>
      </c>
      <c r="Y99" s="1" t="s">
        <v>209</v>
      </c>
      <c r="AA99" s="8" t="s">
        <v>210</v>
      </c>
      <c r="AC99" s="8" t="s">
        <v>219</v>
      </c>
      <c r="AD99" s="8" t="s">
        <v>269</v>
      </c>
      <c r="AE99" s="8" t="s">
        <v>288</v>
      </c>
      <c r="AF99" s="8" t="s">
        <v>220</v>
      </c>
      <c r="AG99" s="8" t="s">
        <v>548</v>
      </c>
      <c r="AH99" s="8" t="s">
        <v>549</v>
      </c>
      <c r="AI99" s="8" t="s">
        <v>546</v>
      </c>
      <c r="AJ99" s="8" t="s">
        <v>547</v>
      </c>
      <c r="AK99" s="8" t="s">
        <v>553</v>
      </c>
      <c r="AL99" s="8" t="s">
        <v>211</v>
      </c>
    </row>
    <row r="100" spans="1:39" x14ac:dyDescent="0.2">
      <c r="AC100" s="8" t="s">
        <v>345</v>
      </c>
      <c r="AD100" s="8" t="s">
        <v>347</v>
      </c>
      <c r="AE100" s="8">
        <v>1</v>
      </c>
      <c r="AF100" s="8">
        <v>300</v>
      </c>
      <c r="AG100" s="8">
        <v>50</v>
      </c>
      <c r="AH100" s="8">
        <v>6</v>
      </c>
      <c r="AI100" s="8">
        <v>0</v>
      </c>
      <c r="AJ100" s="8">
        <v>2</v>
      </c>
      <c r="AK100" s="8">
        <v>15</v>
      </c>
      <c r="AL100" s="8">
        <v>1</v>
      </c>
    </row>
    <row r="101" spans="1:39" x14ac:dyDescent="0.2">
      <c r="A101" s="1" t="s">
        <v>528</v>
      </c>
      <c r="B101" s="1" t="s">
        <v>532</v>
      </c>
      <c r="C101" s="1" t="s">
        <v>205</v>
      </c>
      <c r="D101" s="1" t="str">
        <f t="shared" ref="D101" si="39">"abilities/heroes/"&amp;LEFT(A101,LEN(A101)-2)&amp;"/"&amp;A101</f>
        <v>abilities/heroes/rubick/rubick_3</v>
      </c>
      <c r="E101" s="1" t="str">
        <f t="shared" si="21"/>
        <v>rubick_3</v>
      </c>
      <c r="F101" s="1" t="s">
        <v>206</v>
      </c>
      <c r="G101" s="1" t="s">
        <v>460</v>
      </c>
      <c r="I101" s="1">
        <v>20</v>
      </c>
      <c r="J101" s="1">
        <v>1</v>
      </c>
      <c r="K101" s="1">
        <v>3</v>
      </c>
      <c r="L101" s="1" t="s">
        <v>226</v>
      </c>
      <c r="M101" s="1">
        <v>1400</v>
      </c>
      <c r="Q101" s="1">
        <v>18</v>
      </c>
      <c r="S101" s="1">
        <v>1</v>
      </c>
      <c r="T101" s="1">
        <v>3</v>
      </c>
      <c r="U101" s="1" t="s">
        <v>535</v>
      </c>
      <c r="W101" s="1" t="s">
        <v>308</v>
      </c>
      <c r="X101" s="1" t="s">
        <v>208</v>
      </c>
      <c r="Y101" s="1" t="s">
        <v>209</v>
      </c>
      <c r="Z101" s="1" t="s">
        <v>524</v>
      </c>
      <c r="AA101" s="8" t="s">
        <v>210</v>
      </c>
      <c r="AB101" s="8" t="s">
        <v>412</v>
      </c>
      <c r="AC101" s="8" t="s">
        <v>219</v>
      </c>
      <c r="AD101" s="8" t="s">
        <v>269</v>
      </c>
      <c r="AE101" s="8" t="s">
        <v>288</v>
      </c>
      <c r="AF101" s="8" t="s">
        <v>220</v>
      </c>
      <c r="AG101" s="8" t="s">
        <v>232</v>
      </c>
      <c r="AH101" s="8" t="s">
        <v>320</v>
      </c>
      <c r="AI101" s="8" t="s">
        <v>546</v>
      </c>
      <c r="AJ101" s="8" t="s">
        <v>233</v>
      </c>
    </row>
    <row r="102" spans="1:39" x14ac:dyDescent="0.2">
      <c r="AC102" s="8" t="s">
        <v>345</v>
      </c>
      <c r="AD102" s="8" t="s">
        <v>347</v>
      </c>
      <c r="AE102" s="8">
        <v>1</v>
      </c>
      <c r="AF102" s="8">
        <v>400</v>
      </c>
      <c r="AG102" s="8">
        <v>5</v>
      </c>
      <c r="AH102" s="8">
        <v>0.5</v>
      </c>
      <c r="AI102" s="8">
        <v>0</v>
      </c>
      <c r="AJ102" s="8">
        <v>0.25</v>
      </c>
    </row>
    <row r="103" spans="1:39" x14ac:dyDescent="0.2">
      <c r="A103" s="1" t="s">
        <v>529</v>
      </c>
      <c r="B103" s="1" t="s">
        <v>533</v>
      </c>
      <c r="C103" s="1" t="s">
        <v>205</v>
      </c>
      <c r="D103" s="1" t="str">
        <f t="shared" ref="D103" si="40">"abilities/heroes/"&amp;LEFT(A103,LEN(A103)-2)&amp;"/"&amp;A103</f>
        <v>abilities/heroes/rubick/rubick_4</v>
      </c>
      <c r="E103" s="1" t="str">
        <f t="shared" si="21"/>
        <v>rubick_4</v>
      </c>
      <c r="F103" s="1" t="s">
        <v>245</v>
      </c>
      <c r="G103" s="1" t="s">
        <v>460</v>
      </c>
      <c r="I103" s="1">
        <v>8</v>
      </c>
      <c r="J103" s="1">
        <v>8</v>
      </c>
      <c r="K103" s="1">
        <v>24</v>
      </c>
      <c r="L103" s="1" t="s">
        <v>410</v>
      </c>
      <c r="M103" s="1">
        <v>1000</v>
      </c>
      <c r="Q103" s="1">
        <v>40</v>
      </c>
      <c r="S103" s="1">
        <v>1</v>
      </c>
      <c r="T103" s="1">
        <v>4</v>
      </c>
      <c r="U103" s="1" t="s">
        <v>536</v>
      </c>
      <c r="W103" s="1" t="s">
        <v>308</v>
      </c>
      <c r="X103" s="1" t="s">
        <v>208</v>
      </c>
      <c r="Y103" s="1" t="s">
        <v>209</v>
      </c>
      <c r="Z103" s="1" t="s">
        <v>524</v>
      </c>
      <c r="AA103" s="8" t="s">
        <v>210</v>
      </c>
      <c r="AB103" s="8" t="s">
        <v>412</v>
      </c>
      <c r="AC103" s="8" t="s">
        <v>219</v>
      </c>
      <c r="AD103" s="8" t="s">
        <v>269</v>
      </c>
      <c r="AE103" s="8" t="s">
        <v>278</v>
      </c>
      <c r="AF103" s="8" t="s">
        <v>418</v>
      </c>
      <c r="AG103" s="8" t="s">
        <v>220</v>
      </c>
      <c r="AH103" s="8" t="s">
        <v>320</v>
      </c>
      <c r="AI103" s="8" t="s">
        <v>525</v>
      </c>
      <c r="AJ103" s="8" t="s">
        <v>318</v>
      </c>
      <c r="AK103" s="8" t="s">
        <v>403</v>
      </c>
      <c r="AL103" s="8" t="s">
        <v>234</v>
      </c>
      <c r="AM103" s="8" t="s">
        <v>679</v>
      </c>
    </row>
    <row r="104" spans="1:39" x14ac:dyDescent="0.2">
      <c r="AC104" s="8" t="s">
        <v>538</v>
      </c>
      <c r="AD104" s="8" t="s">
        <v>540</v>
      </c>
      <c r="AE104" s="8">
        <v>100</v>
      </c>
      <c r="AF104" s="8">
        <v>99999</v>
      </c>
      <c r="AG104" s="8">
        <v>600</v>
      </c>
      <c r="AH104" s="8">
        <v>1</v>
      </c>
      <c r="AI104" s="8">
        <v>0.92500000000000004</v>
      </c>
      <c r="AJ104" s="8">
        <v>50</v>
      </c>
      <c r="AK104" s="8">
        <v>10</v>
      </c>
      <c r="AL104" s="8">
        <v>80</v>
      </c>
      <c r="AM104" s="8">
        <v>20</v>
      </c>
    </row>
    <row r="105" spans="1:39" x14ac:dyDescent="0.2">
      <c r="A105" s="1" t="s">
        <v>554</v>
      </c>
      <c r="B105" s="1" t="s">
        <v>555</v>
      </c>
      <c r="C105" s="1" t="s">
        <v>205</v>
      </c>
      <c r="D105" s="1" t="str">
        <f t="shared" ref="D105" si="41">"abilities/heroes/"&amp;LEFT(A105,LEN(A105)-2)&amp;"/"&amp;A105</f>
        <v>abilities/heroes/windrunner/windrunner_0</v>
      </c>
      <c r="E105" s="1" t="str">
        <f t="shared" si="21"/>
        <v>windrunner_0</v>
      </c>
      <c r="F105" s="1" t="s">
        <v>206</v>
      </c>
      <c r="G105" s="1" t="s">
        <v>459</v>
      </c>
      <c r="I105" s="1">
        <v>1</v>
      </c>
      <c r="M105" s="1">
        <v>800</v>
      </c>
      <c r="O105" s="1">
        <v>3</v>
      </c>
      <c r="P105" s="1">
        <v>16</v>
      </c>
      <c r="S105" s="1">
        <v>1</v>
      </c>
      <c r="T105" s="1">
        <v>1</v>
      </c>
      <c r="U105" s="1">
        <v>100</v>
      </c>
      <c r="W105" s="1" t="s">
        <v>567</v>
      </c>
      <c r="X105" s="1" t="s">
        <v>208</v>
      </c>
      <c r="Y105" s="1" t="s">
        <v>209</v>
      </c>
      <c r="Z105" s="1" t="s">
        <v>524</v>
      </c>
      <c r="AA105" s="8" t="s">
        <v>364</v>
      </c>
      <c r="AB105" s="8" t="s">
        <v>412</v>
      </c>
      <c r="AC105" s="8" t="s">
        <v>282</v>
      </c>
      <c r="AD105" s="8" t="s">
        <v>238</v>
      </c>
      <c r="AE105" s="8" t="s">
        <v>568</v>
      </c>
      <c r="AF105" s="8" t="s">
        <v>232</v>
      </c>
      <c r="AG105" s="8" t="s">
        <v>560</v>
      </c>
      <c r="AH105" s="8" t="s">
        <v>235</v>
      </c>
    </row>
    <row r="106" spans="1:39" x14ac:dyDescent="0.2">
      <c r="AC106" s="8">
        <v>250</v>
      </c>
      <c r="AD106" s="8">
        <v>400</v>
      </c>
      <c r="AE106" s="8">
        <v>1</v>
      </c>
      <c r="AF106" s="8">
        <v>8</v>
      </c>
      <c r="AG106" s="8">
        <v>20</v>
      </c>
      <c r="AH106" s="8">
        <v>10</v>
      </c>
    </row>
    <row r="107" spans="1:39" x14ac:dyDescent="0.2">
      <c r="A107" s="1" t="s">
        <v>561</v>
      </c>
      <c r="B107" s="1" t="s">
        <v>556</v>
      </c>
      <c r="C107" s="1" t="s">
        <v>205</v>
      </c>
      <c r="D107" s="1" t="str">
        <f t="shared" ref="D107" si="42">"abilities/heroes/"&amp;LEFT(A107,LEN(A107)-2)&amp;"/"&amp;A107</f>
        <v>abilities/heroes/windrunner/windrunner_1</v>
      </c>
      <c r="E107" s="1" t="str">
        <f t="shared" si="21"/>
        <v>windrunner_1</v>
      </c>
      <c r="F107" s="1" t="s">
        <v>206</v>
      </c>
      <c r="I107" s="1">
        <v>20</v>
      </c>
      <c r="J107" s="1">
        <v>1</v>
      </c>
      <c r="K107" s="1">
        <v>3</v>
      </c>
      <c r="L107" s="1" t="s">
        <v>226</v>
      </c>
      <c r="M107" s="1">
        <v>1500</v>
      </c>
      <c r="Q107" s="1">
        <v>9</v>
      </c>
      <c r="S107" s="1">
        <v>1</v>
      </c>
      <c r="T107" s="1">
        <v>4</v>
      </c>
      <c r="U107" s="1" t="s">
        <v>372</v>
      </c>
      <c r="V107" s="1">
        <v>1</v>
      </c>
      <c r="W107" s="1" t="s">
        <v>572</v>
      </c>
      <c r="X107" s="1" t="s">
        <v>208</v>
      </c>
      <c r="Y107" s="1" t="s">
        <v>209</v>
      </c>
      <c r="AA107" s="8" t="s">
        <v>364</v>
      </c>
      <c r="AC107" s="8" t="s">
        <v>219</v>
      </c>
      <c r="AD107" s="8" t="s">
        <v>269</v>
      </c>
      <c r="AE107" s="8" t="s">
        <v>570</v>
      </c>
      <c r="AF107" s="8" t="s">
        <v>273</v>
      </c>
      <c r="AG107" s="8" t="s">
        <v>220</v>
      </c>
      <c r="AH107" s="8" t="s">
        <v>288</v>
      </c>
      <c r="AI107" s="8" t="s">
        <v>553</v>
      </c>
      <c r="AJ107" s="8" t="s">
        <v>585</v>
      </c>
      <c r="AK107" s="8" t="s">
        <v>584</v>
      </c>
      <c r="AL107" s="8" t="s">
        <v>293</v>
      </c>
    </row>
    <row r="108" spans="1:39" x14ac:dyDescent="0.2">
      <c r="AC108" s="8" t="s">
        <v>569</v>
      </c>
      <c r="AD108" s="8" t="s">
        <v>354</v>
      </c>
      <c r="AE108" s="8">
        <v>1200</v>
      </c>
      <c r="AF108" s="8">
        <v>3000</v>
      </c>
      <c r="AG108" s="8">
        <v>125</v>
      </c>
      <c r="AH108" s="8">
        <v>0.4</v>
      </c>
      <c r="AI108" s="8">
        <v>60</v>
      </c>
      <c r="AJ108" s="8">
        <v>800</v>
      </c>
      <c r="AK108" s="8">
        <v>60</v>
      </c>
      <c r="AL108" s="8">
        <v>15</v>
      </c>
    </row>
    <row r="109" spans="1:39" x14ac:dyDescent="0.2">
      <c r="A109" s="1" t="s">
        <v>562</v>
      </c>
      <c r="B109" s="1" t="s">
        <v>557</v>
      </c>
      <c r="C109" s="1" t="s">
        <v>205</v>
      </c>
      <c r="D109" s="1" t="str">
        <f t="shared" ref="D109" si="43">"abilities/heroes/"&amp;LEFT(A109,LEN(A109)-2)&amp;"/"&amp;A109</f>
        <v>abilities/heroes/windrunner/windrunner_2</v>
      </c>
      <c r="E109" s="1" t="str">
        <f t="shared" si="21"/>
        <v>windrunner_2</v>
      </c>
      <c r="F109" s="1" t="s">
        <v>206</v>
      </c>
      <c r="G109" s="1" t="s">
        <v>459</v>
      </c>
      <c r="I109" s="1">
        <v>20</v>
      </c>
      <c r="J109" s="1">
        <v>1</v>
      </c>
      <c r="K109" s="1">
        <v>3</v>
      </c>
      <c r="Q109" s="1">
        <v>20</v>
      </c>
      <c r="W109" s="1" t="s">
        <v>88</v>
      </c>
      <c r="X109" s="1" t="s">
        <v>208</v>
      </c>
      <c r="Y109" s="1" t="s">
        <v>209</v>
      </c>
      <c r="AA109" s="8" t="s">
        <v>210</v>
      </c>
      <c r="AC109" s="8" t="s">
        <v>586</v>
      </c>
      <c r="AD109" s="8" t="s">
        <v>219</v>
      </c>
      <c r="AE109" s="8" t="s">
        <v>269</v>
      </c>
      <c r="AF109" s="8" t="s">
        <v>232</v>
      </c>
      <c r="AG109" s="8" t="s">
        <v>211</v>
      </c>
      <c r="AH109" s="8" t="s">
        <v>272</v>
      </c>
      <c r="AI109" s="8" t="s">
        <v>468</v>
      </c>
      <c r="AJ109" s="8" t="s">
        <v>587</v>
      </c>
      <c r="AK109" s="8" t="s">
        <v>313</v>
      </c>
      <c r="AL109" s="8" t="s">
        <v>273</v>
      </c>
    </row>
    <row r="110" spans="1:39" x14ac:dyDescent="0.2">
      <c r="AC110" s="8">
        <v>3</v>
      </c>
      <c r="AD110" s="8" t="s">
        <v>345</v>
      </c>
      <c r="AE110" s="8" t="s">
        <v>347</v>
      </c>
      <c r="AF110" s="8">
        <v>12</v>
      </c>
      <c r="AG110" s="8">
        <v>1</v>
      </c>
      <c r="AH110" s="8">
        <v>1200</v>
      </c>
      <c r="AI110" s="8">
        <v>150</v>
      </c>
      <c r="AJ110" s="8" t="s">
        <v>347</v>
      </c>
      <c r="AK110" s="8">
        <v>4</v>
      </c>
      <c r="AL110" s="8">
        <v>1200</v>
      </c>
    </row>
    <row r="111" spans="1:39" x14ac:dyDescent="0.2">
      <c r="A111" s="1" t="s">
        <v>563</v>
      </c>
      <c r="B111" s="1" t="s">
        <v>558</v>
      </c>
      <c r="C111" s="1" t="s">
        <v>205</v>
      </c>
      <c r="D111" s="1" t="str">
        <f t="shared" ref="D111" si="44">"abilities/heroes/"&amp;LEFT(A111,LEN(A111)-2)&amp;"/"&amp;A111</f>
        <v>abilities/heroes/windrunner/windrunner_3</v>
      </c>
      <c r="E111" s="1" t="str">
        <f t="shared" si="21"/>
        <v>windrunner_3</v>
      </c>
      <c r="F111" s="1" t="s">
        <v>206</v>
      </c>
      <c r="G111" s="1" t="s">
        <v>459</v>
      </c>
      <c r="I111" s="1">
        <v>20</v>
      </c>
      <c r="J111" s="1">
        <v>1</v>
      </c>
      <c r="K111" s="1">
        <v>3</v>
      </c>
      <c r="L111" s="1" t="s">
        <v>306</v>
      </c>
      <c r="O111" s="1">
        <v>2</v>
      </c>
      <c r="P111" s="1">
        <v>12</v>
      </c>
      <c r="U111" s="1" t="s">
        <v>307</v>
      </c>
      <c r="W111" s="1" t="s">
        <v>571</v>
      </c>
      <c r="X111" s="1" t="s">
        <v>208</v>
      </c>
      <c r="Y111" s="1" t="s">
        <v>209</v>
      </c>
      <c r="AC111" s="8" t="s">
        <v>251</v>
      </c>
      <c r="AD111" s="8" t="s">
        <v>579</v>
      </c>
      <c r="AE111" s="8" t="s">
        <v>580</v>
      </c>
      <c r="AF111" s="8" t="s">
        <v>220</v>
      </c>
      <c r="AG111" s="8" t="s">
        <v>232</v>
      </c>
    </row>
    <row r="112" spans="1:39" x14ac:dyDescent="0.2">
      <c r="AC112" s="8" t="s">
        <v>575</v>
      </c>
      <c r="AD112" s="8" t="s">
        <v>578</v>
      </c>
      <c r="AE112" s="8" t="s">
        <v>391</v>
      </c>
      <c r="AF112" s="8">
        <v>325</v>
      </c>
      <c r="AG112" s="8">
        <v>4</v>
      </c>
    </row>
    <row r="113" spans="1:39" x14ac:dyDescent="0.2">
      <c r="A113" s="1" t="s">
        <v>564</v>
      </c>
      <c r="B113" s="1" t="s">
        <v>559</v>
      </c>
      <c r="C113" s="1" t="s">
        <v>205</v>
      </c>
      <c r="D113" s="1" t="str">
        <f t="shared" ref="D113" si="45">"abilities/heroes/"&amp;LEFT(A113,LEN(A113)-2)&amp;"/"&amp;A113</f>
        <v>abilities/heroes/windrunner/windrunner_4</v>
      </c>
      <c r="E113" s="1" t="str">
        <f t="shared" si="21"/>
        <v>windrunner_4</v>
      </c>
      <c r="F113" s="1" t="s">
        <v>245</v>
      </c>
      <c r="I113" s="1">
        <v>8</v>
      </c>
      <c r="J113" s="1">
        <v>8</v>
      </c>
      <c r="K113" s="1">
        <v>24</v>
      </c>
      <c r="L113" s="1" t="s">
        <v>448</v>
      </c>
      <c r="N113" s="1">
        <v>0.3</v>
      </c>
      <c r="Q113" s="1">
        <v>90</v>
      </c>
      <c r="S113" s="1">
        <v>1</v>
      </c>
      <c r="T113" s="1" t="s">
        <v>583</v>
      </c>
      <c r="U113" s="1" t="s">
        <v>502</v>
      </c>
      <c r="W113" s="1" t="s">
        <v>88</v>
      </c>
      <c r="X113" s="1" t="s">
        <v>208</v>
      </c>
      <c r="Y113" s="1" t="s">
        <v>209</v>
      </c>
      <c r="AA113" s="8" t="s">
        <v>364</v>
      </c>
      <c r="AB113" s="8" t="s">
        <v>412</v>
      </c>
      <c r="AC113" s="8" t="s">
        <v>219</v>
      </c>
      <c r="AD113" s="8" t="s">
        <v>269</v>
      </c>
      <c r="AE113" s="8" t="s">
        <v>573</v>
      </c>
      <c r="AF113" s="8" t="s">
        <v>220</v>
      </c>
      <c r="AG113" s="8" t="s">
        <v>232</v>
      </c>
      <c r="AH113" s="8" t="s">
        <v>288</v>
      </c>
      <c r="AI113" s="8" t="s">
        <v>320</v>
      </c>
      <c r="AJ113" s="8" t="s">
        <v>212</v>
      </c>
      <c r="AK113" s="8" t="s">
        <v>581</v>
      </c>
      <c r="AL113" s="8" t="s">
        <v>233</v>
      </c>
      <c r="AM113" s="8" t="s">
        <v>582</v>
      </c>
    </row>
    <row r="114" spans="1:39" x14ac:dyDescent="0.2">
      <c r="AC114" s="8" t="s">
        <v>538</v>
      </c>
      <c r="AD114" s="8" t="s">
        <v>574</v>
      </c>
      <c r="AE114" s="8">
        <v>200</v>
      </c>
      <c r="AF114" s="8">
        <v>1200</v>
      </c>
      <c r="AG114" s="8">
        <v>4</v>
      </c>
      <c r="AH114" s="8">
        <v>0.5</v>
      </c>
      <c r="AI114" s="8">
        <v>0.03</v>
      </c>
      <c r="AJ114" s="8">
        <v>40</v>
      </c>
      <c r="AK114" s="8">
        <v>4</v>
      </c>
      <c r="AL114" s="8">
        <v>8</v>
      </c>
      <c r="AM114" s="8">
        <v>1</v>
      </c>
    </row>
    <row r="115" spans="1:39" x14ac:dyDescent="0.2">
      <c r="A115" s="1" t="s">
        <v>591</v>
      </c>
      <c r="B115" s="1" t="s">
        <v>592</v>
      </c>
      <c r="C115" s="1" t="s">
        <v>205</v>
      </c>
      <c r="D115" s="1" t="str">
        <f t="shared" ref="D115" si="46">"abilities/heroes/"&amp;LEFT(A115,LEN(A115)-2)&amp;"/"&amp;A115</f>
        <v>abilities/heroes/crystal_maiden/crystal_maiden_0</v>
      </c>
      <c r="E115" s="1" t="str">
        <f t="shared" si="21"/>
        <v>crystal_maiden_0</v>
      </c>
      <c r="F115" s="1" t="s">
        <v>206</v>
      </c>
      <c r="I115" s="1">
        <v>1</v>
      </c>
      <c r="L115" s="1" t="s">
        <v>226</v>
      </c>
      <c r="M115" s="1">
        <v>1200</v>
      </c>
      <c r="N115" s="1">
        <v>0.3</v>
      </c>
      <c r="Q115" s="1">
        <v>15</v>
      </c>
      <c r="S115" s="1">
        <v>1</v>
      </c>
      <c r="T115" s="1" t="s">
        <v>618</v>
      </c>
      <c r="U115" s="1">
        <v>50</v>
      </c>
      <c r="W115" s="1" t="s">
        <v>5</v>
      </c>
      <c r="X115" s="1" t="s">
        <v>597</v>
      </c>
      <c r="Y115" s="1" t="s">
        <v>209</v>
      </c>
      <c r="AC115" s="8" t="s">
        <v>232</v>
      </c>
      <c r="AD115" s="8" t="s">
        <v>220</v>
      </c>
      <c r="AE115" s="8" t="s">
        <v>580</v>
      </c>
      <c r="AF115" s="8" t="s">
        <v>599</v>
      </c>
      <c r="AG115" s="8" t="s">
        <v>600</v>
      </c>
      <c r="AH115" s="8" t="s">
        <v>550</v>
      </c>
      <c r="AI115" s="8" t="s">
        <v>617</v>
      </c>
    </row>
    <row r="116" spans="1:39" x14ac:dyDescent="0.2">
      <c r="AC116" s="8">
        <v>5</v>
      </c>
      <c r="AD116" s="8">
        <v>275</v>
      </c>
      <c r="AE116" s="8">
        <v>8</v>
      </c>
      <c r="AF116" s="8">
        <v>900</v>
      </c>
      <c r="AG116" s="8">
        <v>10</v>
      </c>
      <c r="AH116" s="8">
        <v>5</v>
      </c>
      <c r="AI116" s="8">
        <v>2</v>
      </c>
    </row>
    <row r="117" spans="1:39" x14ac:dyDescent="0.2">
      <c r="A117" s="1" t="s">
        <v>601</v>
      </c>
      <c r="B117" s="1" t="s">
        <v>593</v>
      </c>
      <c r="C117" s="1" t="s">
        <v>205</v>
      </c>
      <c r="D117" s="1" t="str">
        <f t="shared" ref="D117" si="47">"abilities/heroes/"&amp;LEFT(A117,LEN(A117)-2)&amp;"/"&amp;A117</f>
        <v>abilities/heroes/crystal_maiden/crystal_maiden_1</v>
      </c>
      <c r="E117" s="1" t="str">
        <f t="shared" si="21"/>
        <v>crystal_maiden_1</v>
      </c>
      <c r="F117" s="1" t="s">
        <v>206</v>
      </c>
      <c r="I117" s="1">
        <v>20</v>
      </c>
      <c r="J117" s="1">
        <v>1</v>
      </c>
      <c r="K117" s="1">
        <v>3</v>
      </c>
      <c r="L117" s="1" t="s">
        <v>448</v>
      </c>
      <c r="N117" s="1">
        <v>0.3</v>
      </c>
      <c r="O117" s="1">
        <v>3</v>
      </c>
      <c r="P117" s="1">
        <v>15</v>
      </c>
      <c r="U117" s="1" t="s">
        <v>218</v>
      </c>
      <c r="W117" s="1" t="s">
        <v>88</v>
      </c>
      <c r="X117" s="1" t="s">
        <v>208</v>
      </c>
      <c r="Y117" s="1" t="s">
        <v>209</v>
      </c>
      <c r="AA117" s="8" t="s">
        <v>210</v>
      </c>
      <c r="AC117" s="8" t="s">
        <v>219</v>
      </c>
      <c r="AD117" s="8" t="s">
        <v>269</v>
      </c>
      <c r="AE117" s="8" t="s">
        <v>598</v>
      </c>
      <c r="AF117" s="8" t="s">
        <v>232</v>
      </c>
      <c r="AG117" s="8" t="s">
        <v>278</v>
      </c>
      <c r="AH117" s="8" t="s">
        <v>418</v>
      </c>
      <c r="AI117" s="8" t="s">
        <v>220</v>
      </c>
      <c r="AJ117" s="8" t="s">
        <v>608</v>
      </c>
      <c r="AK117" s="8" t="s">
        <v>609</v>
      </c>
      <c r="AL117" s="8" t="s">
        <v>613</v>
      </c>
    </row>
    <row r="118" spans="1:39" x14ac:dyDescent="0.2">
      <c r="AC118" s="8" t="s">
        <v>384</v>
      </c>
      <c r="AD118" s="8" t="s">
        <v>349</v>
      </c>
      <c r="AE118" s="8">
        <v>1.2</v>
      </c>
      <c r="AF118" s="8">
        <v>6</v>
      </c>
      <c r="AG118" s="8" t="s">
        <v>606</v>
      </c>
      <c r="AH118" s="8" t="s">
        <v>606</v>
      </c>
      <c r="AI118" s="8">
        <v>900</v>
      </c>
      <c r="AJ118" s="8">
        <v>100</v>
      </c>
      <c r="AK118" s="8">
        <v>30</v>
      </c>
      <c r="AL118" s="8">
        <v>0.3</v>
      </c>
    </row>
    <row r="119" spans="1:39" x14ac:dyDescent="0.2">
      <c r="A119" s="1" t="s">
        <v>602</v>
      </c>
      <c r="B119" s="1" t="s">
        <v>594</v>
      </c>
      <c r="C119" s="1" t="s">
        <v>205</v>
      </c>
      <c r="D119" s="1" t="str">
        <f t="shared" ref="D119" si="48">"abilities/heroes/"&amp;LEFT(A119,LEN(A119)-2)&amp;"/"&amp;A119</f>
        <v>abilities/heroes/crystal_maiden/crystal_maiden_2</v>
      </c>
      <c r="E119" s="1" t="str">
        <f t="shared" si="21"/>
        <v>crystal_maiden_2</v>
      </c>
      <c r="F119" s="1" t="s">
        <v>206</v>
      </c>
      <c r="I119" s="1">
        <v>20</v>
      </c>
      <c r="J119" s="1">
        <v>1</v>
      </c>
      <c r="K119" s="1">
        <v>3</v>
      </c>
      <c r="L119" s="1" t="s">
        <v>448</v>
      </c>
      <c r="M119" s="1">
        <v>800</v>
      </c>
      <c r="N119" s="1">
        <v>0.3</v>
      </c>
      <c r="Q119" s="1">
        <v>10</v>
      </c>
      <c r="U119" s="1" t="s">
        <v>605</v>
      </c>
      <c r="W119" s="1" t="s">
        <v>308</v>
      </c>
      <c r="X119" s="1" t="s">
        <v>208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232</v>
      </c>
      <c r="AF119" s="8" t="s">
        <v>220</v>
      </c>
      <c r="AG119" s="8" t="s">
        <v>312</v>
      </c>
      <c r="AH119" s="8" t="s">
        <v>607</v>
      </c>
      <c r="AI119" s="8" t="s">
        <v>320</v>
      </c>
      <c r="AJ119" s="8" t="s">
        <v>288</v>
      </c>
      <c r="AK119" s="8" t="s">
        <v>610</v>
      </c>
      <c r="AL119" s="8" t="s">
        <v>608</v>
      </c>
    </row>
    <row r="120" spans="1:39" x14ac:dyDescent="0.2">
      <c r="AC120" s="8" t="s">
        <v>345</v>
      </c>
      <c r="AD120" s="8" t="s">
        <v>347</v>
      </c>
      <c r="AE120" s="8">
        <v>6</v>
      </c>
      <c r="AF120" s="8">
        <v>300</v>
      </c>
      <c r="AG120" s="8">
        <v>50</v>
      </c>
      <c r="AH120" s="8">
        <v>3</v>
      </c>
      <c r="AI120" s="8">
        <v>0.8</v>
      </c>
      <c r="AJ120" s="8">
        <v>0.4</v>
      </c>
      <c r="AK120" s="8">
        <v>0.05</v>
      </c>
      <c r="AL120" s="8">
        <v>30</v>
      </c>
    </row>
    <row r="121" spans="1:39" x14ac:dyDescent="0.2">
      <c r="A121" s="1" t="s">
        <v>603</v>
      </c>
      <c r="B121" s="1" t="s">
        <v>595</v>
      </c>
      <c r="C121" s="1" t="s">
        <v>205</v>
      </c>
      <c r="D121" s="1" t="str">
        <f t="shared" ref="D121:D141" si="49">"abilities/heroes/"&amp;LEFT(A121,LEN(A121)-2)&amp;"/"&amp;A121</f>
        <v>abilities/heroes/crystal_maiden/crystal_maiden_3</v>
      </c>
      <c r="E121" s="1" t="str">
        <f t="shared" ref="E121:E163" si="50">A121</f>
        <v>crystal_maiden_3</v>
      </c>
      <c r="F121" s="1" t="s">
        <v>206</v>
      </c>
      <c r="I121" s="1">
        <v>20</v>
      </c>
      <c r="J121" s="1">
        <v>1</v>
      </c>
      <c r="K121" s="1">
        <v>3</v>
      </c>
      <c r="S121" s="1">
        <v>1</v>
      </c>
      <c r="T121" s="1">
        <v>4</v>
      </c>
      <c r="W121" s="1" t="s">
        <v>0</v>
      </c>
      <c r="X121" s="1" t="s">
        <v>227</v>
      </c>
      <c r="Y121" s="1" t="s">
        <v>209</v>
      </c>
      <c r="AC121" s="8" t="s">
        <v>611</v>
      </c>
      <c r="AD121" s="8" t="s">
        <v>230</v>
      </c>
      <c r="AE121" s="8" t="s">
        <v>612</v>
      </c>
      <c r="AF121" s="8" t="s">
        <v>619</v>
      </c>
      <c r="AG121" s="8" t="s">
        <v>620</v>
      </c>
    </row>
    <row r="122" spans="1:39" x14ac:dyDescent="0.2">
      <c r="AC122" s="8" t="s">
        <v>621</v>
      </c>
      <c r="AD122" s="8" t="s">
        <v>387</v>
      </c>
      <c r="AE122" s="8">
        <v>15</v>
      </c>
      <c r="AF122" s="8">
        <v>3</v>
      </c>
      <c r="AG122" s="8">
        <v>1</v>
      </c>
    </row>
    <row r="123" spans="1:39" x14ac:dyDescent="0.2">
      <c r="A123" s="1" t="s">
        <v>604</v>
      </c>
      <c r="B123" s="1" t="s">
        <v>596</v>
      </c>
      <c r="C123" s="1" t="s">
        <v>205</v>
      </c>
      <c r="D123" s="1" t="str">
        <f t="shared" si="49"/>
        <v>abilities/heroes/crystal_maiden/crystal_maiden_4</v>
      </c>
      <c r="E123" s="1" t="str">
        <f t="shared" si="50"/>
        <v>crystal_maiden_4</v>
      </c>
      <c r="F123" s="1" t="s">
        <v>245</v>
      </c>
      <c r="I123" s="1">
        <v>8</v>
      </c>
      <c r="J123" s="1">
        <v>8</v>
      </c>
      <c r="K123" s="1">
        <v>24</v>
      </c>
      <c r="L123" s="1" t="s">
        <v>448</v>
      </c>
      <c r="N123" s="1">
        <v>0.3</v>
      </c>
      <c r="Q123" s="1">
        <v>30</v>
      </c>
      <c r="S123" s="1">
        <v>1</v>
      </c>
      <c r="T123" s="1">
        <v>2</v>
      </c>
      <c r="U123" s="1" t="s">
        <v>502</v>
      </c>
      <c r="W123" s="1" t="s">
        <v>88</v>
      </c>
      <c r="X123" s="1" t="s">
        <v>208</v>
      </c>
      <c r="Y123" s="1" t="s">
        <v>209</v>
      </c>
      <c r="AA123" s="8" t="s">
        <v>210</v>
      </c>
      <c r="AC123" s="8" t="s">
        <v>219</v>
      </c>
      <c r="AD123" s="8" t="s">
        <v>269</v>
      </c>
      <c r="AE123" s="8" t="s">
        <v>220</v>
      </c>
      <c r="AF123" s="8" t="s">
        <v>232</v>
      </c>
      <c r="AG123" s="8" t="s">
        <v>326</v>
      </c>
      <c r="AH123" s="8" t="s">
        <v>403</v>
      </c>
      <c r="AI123" s="8" t="s">
        <v>614</v>
      </c>
      <c r="AJ123" s="8" t="s">
        <v>616</v>
      </c>
    </row>
    <row r="124" spans="1:39" x14ac:dyDescent="0.2">
      <c r="AC124" s="8" t="s">
        <v>342</v>
      </c>
      <c r="AD124" s="8" t="s">
        <v>350</v>
      </c>
      <c r="AE124" s="8">
        <v>900</v>
      </c>
      <c r="AF124" s="8">
        <v>8</v>
      </c>
      <c r="AG124" s="8">
        <v>4</v>
      </c>
      <c r="AH124" s="8" t="s">
        <v>615</v>
      </c>
      <c r="AI124" s="8">
        <v>150</v>
      </c>
      <c r="AJ124" s="8">
        <v>1</v>
      </c>
    </row>
    <row r="125" spans="1:39" x14ac:dyDescent="0.2">
      <c r="A125" s="1" t="s">
        <v>622</v>
      </c>
      <c r="B125" s="1" t="s">
        <v>623</v>
      </c>
      <c r="C125" s="1" t="s">
        <v>205</v>
      </c>
      <c r="D125" s="1" t="str">
        <f t="shared" si="49"/>
        <v>abilities/heroes/oracle/oracle_0</v>
      </c>
      <c r="E125" s="1" t="str">
        <f t="shared" si="50"/>
        <v>oracle_0</v>
      </c>
      <c r="F125" s="1" t="s">
        <v>206</v>
      </c>
      <c r="I125" s="1">
        <v>1</v>
      </c>
      <c r="L125" s="1" t="s">
        <v>306</v>
      </c>
      <c r="M125" s="1">
        <v>1200</v>
      </c>
      <c r="N125" s="1">
        <v>0.15</v>
      </c>
      <c r="Q125" s="1">
        <v>30</v>
      </c>
      <c r="R125" s="1">
        <v>1</v>
      </c>
      <c r="S125" s="1">
        <v>1</v>
      </c>
      <c r="T125" s="1">
        <v>1</v>
      </c>
      <c r="U125" s="1">
        <v>50</v>
      </c>
      <c r="W125" s="1" t="s">
        <v>649</v>
      </c>
      <c r="X125" s="1" t="s">
        <v>597</v>
      </c>
      <c r="Y125" s="1" t="s">
        <v>209</v>
      </c>
      <c r="Z125" s="1" t="s">
        <v>524</v>
      </c>
      <c r="AB125" s="8" t="s">
        <v>412</v>
      </c>
      <c r="AC125" s="8" t="s">
        <v>630</v>
      </c>
      <c r="AD125" s="8" t="s">
        <v>631</v>
      </c>
      <c r="AE125" s="8" t="s">
        <v>628</v>
      </c>
      <c r="AF125" s="8" t="s">
        <v>629</v>
      </c>
      <c r="AG125" s="8" t="s">
        <v>232</v>
      </c>
    </row>
    <row r="126" spans="1:39" x14ac:dyDescent="0.2">
      <c r="AC126" s="8">
        <v>5</v>
      </c>
      <c r="AD126" s="8">
        <v>30</v>
      </c>
      <c r="AE126" s="8">
        <v>50</v>
      </c>
      <c r="AF126" s="8">
        <v>1</v>
      </c>
      <c r="AG126" s="8">
        <v>15</v>
      </c>
    </row>
    <row r="127" spans="1:39" x14ac:dyDescent="0.2">
      <c r="A127" s="1" t="s">
        <v>642</v>
      </c>
      <c r="B127" s="1" t="s">
        <v>624</v>
      </c>
      <c r="C127" s="1" t="s">
        <v>205</v>
      </c>
      <c r="D127" s="1" t="str">
        <f t="shared" si="49"/>
        <v>abilities/heroes/oracle/oracle_1</v>
      </c>
      <c r="E127" s="1" t="str">
        <f>A127</f>
        <v>oracle_1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1200</v>
      </c>
      <c r="N127" s="1">
        <v>0.15</v>
      </c>
      <c r="Q127" s="1">
        <v>2.25</v>
      </c>
      <c r="S127" s="1">
        <v>1</v>
      </c>
      <c r="T127" s="1">
        <v>4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647</v>
      </c>
      <c r="AA127" s="8" t="s">
        <v>210</v>
      </c>
      <c r="AC127" s="8" t="s">
        <v>219</v>
      </c>
      <c r="AD127" s="8" t="s">
        <v>269</v>
      </c>
      <c r="AE127" s="8" t="s">
        <v>632</v>
      </c>
      <c r="AF127" s="8" t="s">
        <v>320</v>
      </c>
      <c r="AG127" s="8" t="s">
        <v>220</v>
      </c>
      <c r="AH127" s="8" t="s">
        <v>232</v>
      </c>
      <c r="AI127" s="8" t="s">
        <v>633</v>
      </c>
      <c r="AJ127" s="8" t="s">
        <v>233</v>
      </c>
    </row>
    <row r="128" spans="1:39" x14ac:dyDescent="0.2">
      <c r="AC128" s="8" t="s">
        <v>417</v>
      </c>
      <c r="AD128" s="8" t="s">
        <v>347</v>
      </c>
      <c r="AE128" s="8" t="s">
        <v>352</v>
      </c>
      <c r="AF128" s="8">
        <v>0.25</v>
      </c>
      <c r="AG128" s="8">
        <v>300</v>
      </c>
      <c r="AH128" s="8">
        <v>9</v>
      </c>
      <c r="AI128" s="8">
        <v>30</v>
      </c>
      <c r="AJ128" s="8">
        <v>1</v>
      </c>
    </row>
    <row r="129" spans="1:37" x14ac:dyDescent="0.2">
      <c r="A129" s="1" t="s">
        <v>643</v>
      </c>
      <c r="B129" s="1" t="s">
        <v>625</v>
      </c>
      <c r="C129" s="1" t="s">
        <v>205</v>
      </c>
      <c r="D129" s="1" t="str">
        <f t="shared" si="49"/>
        <v>abilities/heroes/oracle/oracle_2</v>
      </c>
      <c r="E129" s="1" t="str">
        <f>A129</f>
        <v>oracle_2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0.3</v>
      </c>
      <c r="Q129" s="1">
        <v>16</v>
      </c>
      <c r="R129" s="1">
        <v>1</v>
      </c>
      <c r="S129" s="1">
        <v>1</v>
      </c>
      <c r="T129" s="1">
        <v>2</v>
      </c>
      <c r="U129" s="1" t="s">
        <v>218</v>
      </c>
      <c r="W129" s="1" t="s">
        <v>88</v>
      </c>
      <c r="X129" s="1" t="s">
        <v>208</v>
      </c>
      <c r="Y129" s="1" t="s">
        <v>209</v>
      </c>
      <c r="AC129" s="8" t="s">
        <v>627</v>
      </c>
      <c r="AD129" s="8" t="s">
        <v>634</v>
      </c>
      <c r="AE129" s="8" t="s">
        <v>635</v>
      </c>
      <c r="AF129" s="8" t="s">
        <v>553</v>
      </c>
      <c r="AG129" s="8" t="s">
        <v>232</v>
      </c>
      <c r="AH129" s="8" t="s">
        <v>650</v>
      </c>
    </row>
    <row r="130" spans="1:37" x14ac:dyDescent="0.2">
      <c r="AC130" s="8" t="s">
        <v>348</v>
      </c>
      <c r="AD130" s="8" t="s">
        <v>354</v>
      </c>
      <c r="AE130" s="8" t="s">
        <v>423</v>
      </c>
      <c r="AF130" s="8" t="s">
        <v>636</v>
      </c>
      <c r="AG130" s="8">
        <v>9</v>
      </c>
      <c r="AH130" s="8">
        <v>15</v>
      </c>
    </row>
    <row r="131" spans="1:37" x14ac:dyDescent="0.2">
      <c r="A131" s="1" t="s">
        <v>644</v>
      </c>
      <c r="B131" s="1" t="s">
        <v>646</v>
      </c>
      <c r="C131" s="1" t="s">
        <v>205</v>
      </c>
      <c r="D131" s="1" t="str">
        <f t="shared" si="49"/>
        <v>abilities/heroes/oracle/oracle_3</v>
      </c>
      <c r="E131" s="1" t="str">
        <f t="shared" si="50"/>
        <v>oracle_3</v>
      </c>
      <c r="F131" s="1" t="s">
        <v>206</v>
      </c>
      <c r="I131" s="1">
        <v>20</v>
      </c>
      <c r="J131" s="1">
        <v>1</v>
      </c>
      <c r="K131" s="1">
        <v>3</v>
      </c>
      <c r="L131" s="1" t="s">
        <v>226</v>
      </c>
      <c r="M131" s="1">
        <v>1200</v>
      </c>
      <c r="N131" s="1">
        <v>0.3</v>
      </c>
      <c r="Q131" s="1">
        <v>28</v>
      </c>
      <c r="S131" s="1">
        <v>1</v>
      </c>
      <c r="T131" s="1">
        <v>3</v>
      </c>
      <c r="U131" s="1" t="s">
        <v>218</v>
      </c>
      <c r="W131" s="1" t="s">
        <v>5</v>
      </c>
      <c r="X131" s="1" t="s">
        <v>227</v>
      </c>
      <c r="Y131" s="1" t="s">
        <v>209</v>
      </c>
      <c r="AA131" s="8" t="s">
        <v>210</v>
      </c>
      <c r="AC131" s="8" t="s">
        <v>219</v>
      </c>
      <c r="AD131" s="8" t="s">
        <v>269</v>
      </c>
      <c r="AE131" s="8" t="s">
        <v>278</v>
      </c>
      <c r="AF131" s="8" t="s">
        <v>637</v>
      </c>
      <c r="AG131" s="8" t="s">
        <v>639</v>
      </c>
      <c r="AH131" s="8" t="s">
        <v>232</v>
      </c>
      <c r="AI131" s="8" t="s">
        <v>651</v>
      </c>
      <c r="AJ131" s="8" t="s">
        <v>652</v>
      </c>
    </row>
    <row r="132" spans="1:37" x14ac:dyDescent="0.2">
      <c r="AC132" s="8" t="s">
        <v>343</v>
      </c>
      <c r="AD132" s="8" t="s">
        <v>349</v>
      </c>
      <c r="AE132" s="8">
        <v>200</v>
      </c>
      <c r="AF132" s="8" t="s">
        <v>638</v>
      </c>
      <c r="AG132" s="8">
        <v>1</v>
      </c>
      <c r="AH132" s="8">
        <v>14</v>
      </c>
      <c r="AI132" s="8">
        <v>300</v>
      </c>
      <c r="AJ132" s="8">
        <v>1</v>
      </c>
    </row>
    <row r="133" spans="1:37" x14ac:dyDescent="0.2">
      <c r="A133" s="1" t="s">
        <v>645</v>
      </c>
      <c r="B133" s="1" t="s">
        <v>626</v>
      </c>
      <c r="C133" s="1" t="s">
        <v>205</v>
      </c>
      <c r="D133" s="1" t="str">
        <f t="shared" si="49"/>
        <v>abilities/heroes/oracle/oracle_4</v>
      </c>
      <c r="E133" s="1" t="str">
        <f t="shared" si="50"/>
        <v>oracle_4</v>
      </c>
      <c r="F133" s="1" t="s">
        <v>245</v>
      </c>
      <c r="I133" s="1">
        <v>8</v>
      </c>
      <c r="J133" s="1">
        <v>8</v>
      </c>
      <c r="K133" s="1">
        <v>24</v>
      </c>
      <c r="L133" s="1" t="s">
        <v>410</v>
      </c>
      <c r="M133" s="1">
        <v>800</v>
      </c>
      <c r="N133" s="1">
        <v>0.3</v>
      </c>
      <c r="Q133" s="1">
        <v>60</v>
      </c>
      <c r="U133" s="1" t="s">
        <v>502</v>
      </c>
      <c r="W133" s="1" t="s">
        <v>308</v>
      </c>
      <c r="X133" s="1" t="s">
        <v>208</v>
      </c>
      <c r="Y133" s="1" t="s">
        <v>209</v>
      </c>
      <c r="Z133" s="1" t="s">
        <v>524</v>
      </c>
      <c r="AA133" s="8" t="s">
        <v>210</v>
      </c>
      <c r="AB133" s="8" t="s">
        <v>412</v>
      </c>
      <c r="AC133" s="8" t="s">
        <v>219</v>
      </c>
      <c r="AD133" s="8" t="s">
        <v>269</v>
      </c>
      <c r="AE133" s="8" t="s">
        <v>220</v>
      </c>
      <c r="AF133" s="8" t="s">
        <v>523</v>
      </c>
      <c r="AG133" s="8" t="s">
        <v>211</v>
      </c>
      <c r="AH133" s="8" t="s">
        <v>641</v>
      </c>
      <c r="AI133" s="8" t="s">
        <v>628</v>
      </c>
    </row>
    <row r="134" spans="1:37" x14ac:dyDescent="0.2">
      <c r="AC134" s="8" t="s">
        <v>342</v>
      </c>
      <c r="AD134" s="8" t="s">
        <v>640</v>
      </c>
      <c r="AE134" s="8">
        <v>600</v>
      </c>
      <c r="AF134" s="8">
        <v>0.5</v>
      </c>
      <c r="AG134" s="8">
        <v>2</v>
      </c>
      <c r="AH134" s="8">
        <v>6</v>
      </c>
      <c r="AI134" s="8">
        <v>200</v>
      </c>
    </row>
    <row r="135" spans="1:37" x14ac:dyDescent="0.2">
      <c r="A135" s="1" t="s">
        <v>654</v>
      </c>
      <c r="B135" s="1" t="s">
        <v>659</v>
      </c>
      <c r="C135" s="1" t="s">
        <v>205</v>
      </c>
      <c r="D135" s="1" t="str">
        <f t="shared" si="49"/>
        <v>abilities/heroes/void_spirit/void_spirit_0</v>
      </c>
      <c r="E135" s="1" t="str">
        <f t="shared" si="50"/>
        <v>void_spirit_0</v>
      </c>
      <c r="F135" s="1" t="s">
        <v>206</v>
      </c>
      <c r="I135" s="1">
        <v>1</v>
      </c>
      <c r="L135" s="1" t="s">
        <v>448</v>
      </c>
      <c r="M135" s="1">
        <v>1200</v>
      </c>
      <c r="Q135" s="1">
        <v>5</v>
      </c>
      <c r="S135" s="1">
        <v>1</v>
      </c>
      <c r="T135" s="1">
        <v>2</v>
      </c>
      <c r="W135" s="1" t="s">
        <v>676</v>
      </c>
      <c r="X135" s="1" t="s">
        <v>208</v>
      </c>
      <c r="Y135" s="1" t="s">
        <v>209</v>
      </c>
      <c r="Z135" s="1" t="s">
        <v>524</v>
      </c>
      <c r="AA135" s="8" t="s">
        <v>210</v>
      </c>
      <c r="AC135" s="8" t="s">
        <v>232</v>
      </c>
      <c r="AD135" s="8" t="s">
        <v>454</v>
      </c>
    </row>
    <row r="136" spans="1:37" x14ac:dyDescent="0.2">
      <c r="AC136" s="8">
        <v>10</v>
      </c>
      <c r="AD136" s="8">
        <v>2</v>
      </c>
    </row>
    <row r="137" spans="1:37" x14ac:dyDescent="0.2">
      <c r="A137" s="1" t="s">
        <v>655</v>
      </c>
      <c r="B137" s="1" t="s">
        <v>660</v>
      </c>
      <c r="C137" s="1" t="s">
        <v>205</v>
      </c>
      <c r="D137" s="1" t="str">
        <f t="shared" si="49"/>
        <v>abilities/heroes/void_spirit/void_spirit_1</v>
      </c>
      <c r="E137" s="1" t="str">
        <f t="shared" si="50"/>
        <v>void_spirit_1</v>
      </c>
      <c r="F137" s="1" t="s">
        <v>206</v>
      </c>
      <c r="I137" s="1">
        <v>20</v>
      </c>
      <c r="J137" s="1">
        <v>1</v>
      </c>
      <c r="K137" s="1">
        <v>3</v>
      </c>
      <c r="L137" s="1" t="s">
        <v>410</v>
      </c>
      <c r="N137" s="1">
        <v>0</v>
      </c>
      <c r="Q137" s="1">
        <v>10</v>
      </c>
      <c r="S137" s="1">
        <v>1</v>
      </c>
      <c r="T137" s="1" t="s">
        <v>618</v>
      </c>
      <c r="U137" s="1" t="s">
        <v>307</v>
      </c>
      <c r="W137" s="1" t="s">
        <v>479</v>
      </c>
      <c r="X137" s="1" t="s">
        <v>208</v>
      </c>
      <c r="Y137" s="1" t="s">
        <v>209</v>
      </c>
      <c r="Z137" s="1" t="s">
        <v>524</v>
      </c>
      <c r="AA137" s="8" t="s">
        <v>210</v>
      </c>
      <c r="AC137" s="8" t="s">
        <v>219</v>
      </c>
      <c r="AD137" s="8" t="s">
        <v>269</v>
      </c>
      <c r="AE137" s="8" t="s">
        <v>664</v>
      </c>
      <c r="AF137" s="8" t="s">
        <v>633</v>
      </c>
      <c r="AG137" s="8" t="s">
        <v>665</v>
      </c>
      <c r="AH137" s="8" t="s">
        <v>220</v>
      </c>
      <c r="AI137" s="8" t="s">
        <v>232</v>
      </c>
      <c r="AJ137" s="8" t="s">
        <v>287</v>
      </c>
      <c r="AK137" s="8" t="s">
        <v>332</v>
      </c>
    </row>
    <row r="138" spans="1:37" x14ac:dyDescent="0.2">
      <c r="AC138" s="8" t="s">
        <v>384</v>
      </c>
      <c r="AD138" s="8" t="s">
        <v>347</v>
      </c>
      <c r="AE138" s="8" t="s">
        <v>680</v>
      </c>
      <c r="AF138" s="8">
        <v>20</v>
      </c>
      <c r="AG138" s="8">
        <v>40</v>
      </c>
      <c r="AH138" s="8">
        <v>500</v>
      </c>
      <c r="AI138" s="8">
        <v>10</v>
      </c>
      <c r="AJ138" s="8">
        <v>0.3</v>
      </c>
      <c r="AK138" s="8">
        <v>6</v>
      </c>
    </row>
    <row r="139" spans="1:37" x14ac:dyDescent="0.2">
      <c r="A139" s="1" t="s">
        <v>656</v>
      </c>
      <c r="B139" s="1" t="s">
        <v>661</v>
      </c>
      <c r="C139" s="1" t="s">
        <v>205</v>
      </c>
      <c r="D139" s="1" t="str">
        <f t="shared" si="49"/>
        <v>abilities/heroes/void_spirit/void_spirit_2</v>
      </c>
      <c r="E139" s="1" t="str">
        <f t="shared" si="50"/>
        <v>void_spirit_2</v>
      </c>
      <c r="F139" s="1" t="s">
        <v>206</v>
      </c>
      <c r="I139" s="1">
        <v>20</v>
      </c>
      <c r="J139" s="1">
        <v>1</v>
      </c>
      <c r="K139" s="1">
        <v>3</v>
      </c>
      <c r="L139" s="1" t="s">
        <v>306</v>
      </c>
      <c r="M139" s="1">
        <v>1600</v>
      </c>
      <c r="N139" s="1">
        <v>0.2</v>
      </c>
      <c r="O139" s="1">
        <v>2</v>
      </c>
      <c r="P139" s="1">
        <v>12</v>
      </c>
      <c r="U139" s="1" t="s">
        <v>307</v>
      </c>
      <c r="W139" s="1" t="s">
        <v>308</v>
      </c>
      <c r="X139" s="1" t="s">
        <v>208</v>
      </c>
      <c r="Y139" s="1" t="s">
        <v>209</v>
      </c>
      <c r="Z139" s="1" t="s">
        <v>524</v>
      </c>
      <c r="AA139" s="8" t="s">
        <v>210</v>
      </c>
      <c r="AC139" s="8" t="s">
        <v>219</v>
      </c>
      <c r="AD139" s="8" t="s">
        <v>269</v>
      </c>
      <c r="AE139" s="8" t="s">
        <v>220</v>
      </c>
      <c r="AF139" s="8" t="s">
        <v>666</v>
      </c>
      <c r="AG139" s="8" t="s">
        <v>211</v>
      </c>
    </row>
    <row r="140" spans="1:37" x14ac:dyDescent="0.2">
      <c r="AC140" s="8" t="s">
        <v>384</v>
      </c>
      <c r="AD140" s="8" t="s">
        <v>347</v>
      </c>
      <c r="AE140" s="8">
        <v>275</v>
      </c>
      <c r="AF140" s="8">
        <v>1.3</v>
      </c>
      <c r="AG140" s="8">
        <v>2</v>
      </c>
    </row>
    <row r="141" spans="1:37" x14ac:dyDescent="0.2">
      <c r="A141" s="1" t="s">
        <v>657</v>
      </c>
      <c r="B141" s="1" t="s">
        <v>663</v>
      </c>
      <c r="C141" s="1" t="s">
        <v>205</v>
      </c>
      <c r="D141" s="1" t="str">
        <f t="shared" si="49"/>
        <v>abilities/heroes/void_spirit/void_spirit_3</v>
      </c>
      <c r="E141" s="1" t="str">
        <f>A141</f>
        <v>void_spirit_3</v>
      </c>
      <c r="F141" s="1" t="s">
        <v>206</v>
      </c>
      <c r="I141" s="1">
        <v>20</v>
      </c>
      <c r="J141" s="1">
        <v>1</v>
      </c>
      <c r="K141" s="1">
        <v>3</v>
      </c>
      <c r="L141" s="1" t="s">
        <v>226</v>
      </c>
      <c r="N141" s="1">
        <v>0.2</v>
      </c>
      <c r="O141" s="1">
        <v>2</v>
      </c>
      <c r="P141" s="1">
        <v>8</v>
      </c>
      <c r="S141" s="1">
        <v>1</v>
      </c>
      <c r="T141" s="1">
        <v>4</v>
      </c>
      <c r="U141" s="1" t="s">
        <v>682</v>
      </c>
      <c r="W141" s="1" t="s">
        <v>675</v>
      </c>
      <c r="X141" s="1" t="s">
        <v>208</v>
      </c>
      <c r="Y141" s="1" t="s">
        <v>209</v>
      </c>
      <c r="Z141" s="1" t="s">
        <v>524</v>
      </c>
      <c r="AA141" s="8" t="s">
        <v>210</v>
      </c>
      <c r="AC141" s="8" t="s">
        <v>220</v>
      </c>
      <c r="AD141" s="8" t="s">
        <v>671</v>
      </c>
      <c r="AE141" s="8" t="s">
        <v>672</v>
      </c>
      <c r="AF141" s="8" t="s">
        <v>673</v>
      </c>
      <c r="AG141" s="8" t="s">
        <v>674</v>
      </c>
      <c r="AH141" s="8" t="s">
        <v>677</v>
      </c>
      <c r="AI141" s="8" t="s">
        <v>628</v>
      </c>
      <c r="AJ141" s="8" t="s">
        <v>269</v>
      </c>
      <c r="AK141" s="8" t="s">
        <v>403</v>
      </c>
    </row>
    <row r="142" spans="1:37" x14ac:dyDescent="0.2">
      <c r="AC142" s="8">
        <v>175</v>
      </c>
      <c r="AD142" s="8">
        <v>200</v>
      </c>
      <c r="AE142" s="8">
        <v>1600</v>
      </c>
      <c r="AF142" s="8">
        <v>1.25</v>
      </c>
      <c r="AG142" s="8">
        <v>80</v>
      </c>
      <c r="AH142" s="8">
        <v>300</v>
      </c>
      <c r="AI142" s="8" t="s">
        <v>678</v>
      </c>
      <c r="AJ142" s="8" t="s">
        <v>347</v>
      </c>
      <c r="AK142" s="8">
        <v>10</v>
      </c>
    </row>
    <row r="143" spans="1:37" x14ac:dyDescent="0.2">
      <c r="A143" s="1" t="s">
        <v>658</v>
      </c>
      <c r="B143" s="1" t="s">
        <v>662</v>
      </c>
      <c r="C143" s="1" t="s">
        <v>205</v>
      </c>
      <c r="D143" s="1" t="str">
        <f t="shared" ref="D143" si="51">"abilities/heroes/"&amp;LEFT(A143,LEN(A143)-2)&amp;"/"&amp;A143</f>
        <v>abilities/heroes/void_spirit/void_spirit_4</v>
      </c>
      <c r="E143" s="1" t="str">
        <f t="shared" si="50"/>
        <v>void_spirit_4</v>
      </c>
      <c r="F143" s="1" t="s">
        <v>245</v>
      </c>
      <c r="I143" s="1">
        <v>8</v>
      </c>
      <c r="J143" s="1">
        <v>8</v>
      </c>
      <c r="K143" s="1">
        <v>24</v>
      </c>
      <c r="L143" s="1" t="s">
        <v>306</v>
      </c>
      <c r="N143" s="1">
        <v>0.2</v>
      </c>
      <c r="Q143" s="1">
        <v>40</v>
      </c>
      <c r="U143" s="1" t="s">
        <v>502</v>
      </c>
      <c r="W143" s="1" t="s">
        <v>88</v>
      </c>
      <c r="X143" s="1" t="s">
        <v>208</v>
      </c>
      <c r="Y143" s="1" t="s">
        <v>209</v>
      </c>
      <c r="Z143" s="1" t="s">
        <v>524</v>
      </c>
      <c r="AA143" s="8" t="s">
        <v>210</v>
      </c>
      <c r="AC143" s="8" t="s">
        <v>219</v>
      </c>
      <c r="AD143" s="8" t="s">
        <v>269</v>
      </c>
      <c r="AE143" s="8" t="s">
        <v>220</v>
      </c>
      <c r="AF143" s="8" t="s">
        <v>666</v>
      </c>
      <c r="AG143" s="8" t="s">
        <v>668</v>
      </c>
      <c r="AH143" s="8" t="s">
        <v>667</v>
      </c>
      <c r="AI143" s="8" t="s">
        <v>669</v>
      </c>
      <c r="AJ143" s="8" t="s">
        <v>670</v>
      </c>
      <c r="AK143" s="8" t="s">
        <v>211</v>
      </c>
    </row>
    <row r="144" spans="1:37" x14ac:dyDescent="0.2">
      <c r="AC144" s="8" t="s">
        <v>346</v>
      </c>
      <c r="AD144" s="8" t="s">
        <v>538</v>
      </c>
      <c r="AE144" s="8">
        <v>275</v>
      </c>
      <c r="AF144" s="8">
        <v>1.3</v>
      </c>
      <c r="AG144" s="8">
        <v>6</v>
      </c>
      <c r="AH144" s="8">
        <v>183</v>
      </c>
      <c r="AI144" s="8">
        <v>60</v>
      </c>
      <c r="AJ144" s="8">
        <v>520</v>
      </c>
      <c r="AK144" s="8">
        <v>6</v>
      </c>
    </row>
    <row r="145" spans="1:39" x14ac:dyDescent="0.2">
      <c r="A145" s="1" t="s">
        <v>707</v>
      </c>
      <c r="B145" s="1" t="s">
        <v>702</v>
      </c>
      <c r="C145" s="1" t="s">
        <v>205</v>
      </c>
      <c r="D145" s="1" t="str">
        <f t="shared" ref="D145" si="52">"abilities/heroes/"&amp;LEFT(A145,LEN(A145)-2)&amp;"/"&amp;A145</f>
        <v>abilities/heroes/monkey_king/monkey_king_0</v>
      </c>
      <c r="E145" s="1" t="str">
        <f t="shared" si="50"/>
        <v>monkey_king_0</v>
      </c>
      <c r="F145" s="1" t="s">
        <v>206</v>
      </c>
      <c r="I145" s="1">
        <v>1</v>
      </c>
      <c r="S145" s="1">
        <v>1</v>
      </c>
      <c r="T145" s="1">
        <v>3</v>
      </c>
      <c r="W145" s="1" t="s">
        <v>0</v>
      </c>
      <c r="X145" s="1" t="s">
        <v>208</v>
      </c>
      <c r="Y145" s="1" t="s">
        <v>209</v>
      </c>
      <c r="AA145" s="8" t="s">
        <v>324</v>
      </c>
      <c r="AC145" s="8" t="s">
        <v>684</v>
      </c>
      <c r="AD145" s="8" t="s">
        <v>689</v>
      </c>
      <c r="AE145" s="8" t="s">
        <v>293</v>
      </c>
      <c r="AF145" s="8" t="s">
        <v>714</v>
      </c>
    </row>
    <row r="146" spans="1:39" x14ac:dyDescent="0.2">
      <c r="AC146" s="8">
        <v>0.5</v>
      </c>
      <c r="AD146" s="8">
        <v>2</v>
      </c>
      <c r="AE146" s="8">
        <v>15</v>
      </c>
      <c r="AF146" s="8">
        <v>50</v>
      </c>
    </row>
    <row r="147" spans="1:39" x14ac:dyDescent="0.2">
      <c r="A147" s="1" t="s">
        <v>715</v>
      </c>
      <c r="B147" s="1" t="s">
        <v>705</v>
      </c>
      <c r="C147" s="1" t="s">
        <v>205</v>
      </c>
      <c r="D147" s="1" t="str">
        <f t="shared" ref="D147" si="53">"abilities/heroes/"&amp;LEFT(A147,LEN(A147)-2)&amp;"/"&amp;A147</f>
        <v>abilities/heroes/monkey_king/monkey_king_1</v>
      </c>
      <c r="E147" s="1" t="str">
        <f t="shared" si="50"/>
        <v>monkey_king_1</v>
      </c>
      <c r="F147" s="1" t="s">
        <v>206</v>
      </c>
      <c r="I147" s="1">
        <v>20</v>
      </c>
      <c r="J147" s="1">
        <v>1</v>
      </c>
      <c r="K147" s="1">
        <v>3</v>
      </c>
      <c r="L147" s="1" t="s">
        <v>681</v>
      </c>
      <c r="Q147" s="1">
        <v>10</v>
      </c>
      <c r="U147" s="1" t="s">
        <v>372</v>
      </c>
      <c r="W147" s="1" t="s">
        <v>89</v>
      </c>
      <c r="X147" s="1" t="s">
        <v>208</v>
      </c>
      <c r="Y147" s="1" t="s">
        <v>209</v>
      </c>
      <c r="AA147" s="8" t="s">
        <v>364</v>
      </c>
      <c r="AC147" s="8" t="s">
        <v>219</v>
      </c>
      <c r="AD147" s="8" t="s">
        <v>269</v>
      </c>
      <c r="AE147" s="8" t="s">
        <v>693</v>
      </c>
      <c r="AF147" s="8" t="s">
        <v>220</v>
      </c>
      <c r="AG147" s="8" t="s">
        <v>695</v>
      </c>
      <c r="AH147" s="8" t="s">
        <v>272</v>
      </c>
      <c r="AI147" s="8" t="s">
        <v>232</v>
      </c>
    </row>
    <row r="148" spans="1:39" x14ac:dyDescent="0.2">
      <c r="AC148" s="8" t="s">
        <v>345</v>
      </c>
      <c r="AD148" s="8" t="s">
        <v>354</v>
      </c>
      <c r="AE148" s="8" t="s">
        <v>347</v>
      </c>
      <c r="AF148" s="8">
        <v>350</v>
      </c>
      <c r="AG148" s="8">
        <v>60</v>
      </c>
      <c r="AH148" s="8">
        <v>1200</v>
      </c>
      <c r="AI148" s="8">
        <v>4</v>
      </c>
    </row>
    <row r="149" spans="1:39" x14ac:dyDescent="0.2">
      <c r="A149" s="1" t="s">
        <v>716</v>
      </c>
      <c r="B149" s="1" t="s">
        <v>706</v>
      </c>
      <c r="C149" s="1" t="s">
        <v>205</v>
      </c>
      <c r="D149" s="1" t="str">
        <f t="shared" ref="D149" si="54">"abilities/heroes/"&amp;LEFT(A149,LEN(A149)-2)&amp;"/"&amp;A149</f>
        <v>abilities/heroes/monkey_king/monkey_king_2</v>
      </c>
      <c r="E149" s="1" t="str">
        <f t="shared" si="50"/>
        <v>monkey_king_2</v>
      </c>
      <c r="F149" s="1" t="s">
        <v>206</v>
      </c>
      <c r="I149" s="1">
        <v>20</v>
      </c>
      <c r="J149" s="1">
        <v>1</v>
      </c>
      <c r="K149" s="1">
        <v>3</v>
      </c>
      <c r="Q149" s="1">
        <v>16</v>
      </c>
      <c r="U149" s="1" t="s">
        <v>372</v>
      </c>
      <c r="W149" s="1" t="s">
        <v>88</v>
      </c>
      <c r="X149" s="1" t="s">
        <v>208</v>
      </c>
      <c r="Y149" s="1" t="s">
        <v>209</v>
      </c>
      <c r="AA149" s="8" t="s">
        <v>210</v>
      </c>
      <c r="AC149" s="8" t="s">
        <v>685</v>
      </c>
      <c r="AD149" s="8" t="s">
        <v>690</v>
      </c>
      <c r="AE149" s="8" t="s">
        <v>232</v>
      </c>
      <c r="AF149" s="8" t="s">
        <v>549</v>
      </c>
      <c r="AG149" s="8" t="s">
        <v>220</v>
      </c>
      <c r="AH149" s="8" t="s">
        <v>611</v>
      </c>
      <c r="AI149" s="8" t="s">
        <v>278</v>
      </c>
    </row>
    <row r="150" spans="1:39" x14ac:dyDescent="0.2">
      <c r="AC150" s="8" t="s">
        <v>686</v>
      </c>
      <c r="AD150" s="8" t="s">
        <v>691</v>
      </c>
      <c r="AE150" s="8">
        <v>2</v>
      </c>
      <c r="AF150" s="8">
        <v>10</v>
      </c>
      <c r="AG150" s="8">
        <v>600</v>
      </c>
      <c r="AH150" s="8">
        <v>80</v>
      </c>
      <c r="AI150" s="8">
        <v>120</v>
      </c>
    </row>
    <row r="151" spans="1:39" x14ac:dyDescent="0.2">
      <c r="A151" s="1" t="s">
        <v>717</v>
      </c>
      <c r="B151" s="1" t="s">
        <v>703</v>
      </c>
      <c r="C151" s="1" t="s">
        <v>205</v>
      </c>
      <c r="D151" s="1" t="str">
        <f t="shared" ref="D151:D163" si="55">"abilities/heroes/"&amp;LEFT(A151,LEN(A151)-2)&amp;"/"&amp;A151</f>
        <v>abilities/heroes/monkey_king/monkey_king_3</v>
      </c>
      <c r="E151" s="1" t="str">
        <f t="shared" si="50"/>
        <v>monkey_king_3</v>
      </c>
      <c r="F151" s="1" t="s">
        <v>206</v>
      </c>
      <c r="I151" s="1">
        <v>20</v>
      </c>
      <c r="J151" s="1">
        <v>1</v>
      </c>
      <c r="K151" s="1">
        <v>3</v>
      </c>
      <c r="L151" s="1" t="s">
        <v>226</v>
      </c>
      <c r="Q151" s="1">
        <v>20</v>
      </c>
      <c r="S151" s="1">
        <v>1</v>
      </c>
      <c r="T151" s="1" t="s">
        <v>739</v>
      </c>
      <c r="U151" s="1" t="s">
        <v>683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709</v>
      </c>
      <c r="AD151" s="8" t="s">
        <v>699</v>
      </c>
      <c r="AE151" s="8" t="s">
        <v>232</v>
      </c>
      <c r="AF151" s="8" t="s">
        <v>708</v>
      </c>
      <c r="AG151" s="8" t="s">
        <v>550</v>
      </c>
      <c r="AH151" s="8" t="s">
        <v>233</v>
      </c>
      <c r="AI151" s="8" t="s">
        <v>582</v>
      </c>
      <c r="AJ151" s="8" t="s">
        <v>712</v>
      </c>
      <c r="AK151" s="8" t="s">
        <v>713</v>
      </c>
    </row>
    <row r="152" spans="1:39" x14ac:dyDescent="0.2">
      <c r="AC152" s="8">
        <v>300</v>
      </c>
      <c r="AD152" s="8" t="s">
        <v>700</v>
      </c>
      <c r="AE152" s="8" t="s">
        <v>701</v>
      </c>
      <c r="AF152" s="8">
        <v>2</v>
      </c>
      <c r="AG152" s="8">
        <v>9</v>
      </c>
      <c r="AH152" s="8">
        <v>4</v>
      </c>
      <c r="AI152" s="8">
        <v>12</v>
      </c>
      <c r="AJ152" s="8">
        <v>2</v>
      </c>
      <c r="AK152" s="8">
        <v>1</v>
      </c>
    </row>
    <row r="153" spans="1:39" x14ac:dyDescent="0.2">
      <c r="A153" s="1" t="s">
        <v>718</v>
      </c>
      <c r="B153" s="1" t="s">
        <v>704</v>
      </c>
      <c r="C153" s="1" t="s">
        <v>205</v>
      </c>
      <c r="D153" s="1" t="str">
        <f t="shared" si="55"/>
        <v>abilities/heroes/monkey_king/monkey_king_4</v>
      </c>
      <c r="E153" s="1" t="str">
        <f t="shared" si="50"/>
        <v>monkey_king_4</v>
      </c>
      <c r="F153" s="1" t="s">
        <v>245</v>
      </c>
      <c r="I153" s="1">
        <v>8</v>
      </c>
      <c r="J153" s="1">
        <v>8</v>
      </c>
      <c r="K153" s="1">
        <v>24</v>
      </c>
      <c r="L153" s="1" t="s">
        <v>681</v>
      </c>
      <c r="M153" s="1">
        <v>1200</v>
      </c>
      <c r="Q153" s="1">
        <v>60</v>
      </c>
      <c r="S153" s="1">
        <v>1</v>
      </c>
      <c r="T153" s="1">
        <v>4</v>
      </c>
      <c r="U153" s="1" t="s">
        <v>502</v>
      </c>
      <c r="W153" s="1" t="s">
        <v>308</v>
      </c>
      <c r="X153" s="1" t="s">
        <v>208</v>
      </c>
      <c r="Y153" s="1" t="s">
        <v>209</v>
      </c>
      <c r="AA153" s="8" t="s">
        <v>364</v>
      </c>
      <c r="AC153" s="8" t="s">
        <v>687</v>
      </c>
      <c r="AD153" s="8" t="s">
        <v>692</v>
      </c>
      <c r="AE153" s="8" t="s">
        <v>694</v>
      </c>
      <c r="AF153" s="8" t="s">
        <v>696</v>
      </c>
      <c r="AG153" s="8" t="s">
        <v>697</v>
      </c>
      <c r="AH153" s="8" t="s">
        <v>698</v>
      </c>
      <c r="AI153" s="8" t="s">
        <v>710</v>
      </c>
      <c r="AJ153" s="8" t="s">
        <v>234</v>
      </c>
      <c r="AK153" s="8" t="s">
        <v>470</v>
      </c>
    </row>
    <row r="154" spans="1:39" x14ac:dyDescent="0.2">
      <c r="AC154" s="8" t="s">
        <v>688</v>
      </c>
      <c r="AD154" s="8">
        <v>1200</v>
      </c>
      <c r="AE154" s="8">
        <v>1</v>
      </c>
      <c r="AF154" s="8" t="s">
        <v>640</v>
      </c>
      <c r="AG154" s="8">
        <v>400</v>
      </c>
      <c r="AH154" s="8">
        <v>4</v>
      </c>
      <c r="AI154" s="8" t="s">
        <v>711</v>
      </c>
      <c r="AJ154" s="8">
        <v>9</v>
      </c>
      <c r="AK154" s="8">
        <v>20</v>
      </c>
    </row>
    <row r="155" spans="1:39" x14ac:dyDescent="0.2">
      <c r="A155" s="1" t="s">
        <v>719</v>
      </c>
      <c r="B155" s="1" t="s">
        <v>732</v>
      </c>
      <c r="C155" s="1" t="s">
        <v>205</v>
      </c>
      <c r="D155" s="1" t="str">
        <f t="shared" si="55"/>
        <v>abilities/heroes/lina/lina_0</v>
      </c>
      <c r="E155" s="1" t="str">
        <f t="shared" si="50"/>
        <v>lina_0</v>
      </c>
      <c r="F155" s="1" t="s">
        <v>206</v>
      </c>
      <c r="I155" s="1">
        <v>1</v>
      </c>
      <c r="S155" s="1">
        <v>1</v>
      </c>
      <c r="T155" s="1">
        <v>4</v>
      </c>
      <c r="W155" s="1" t="s">
        <v>0</v>
      </c>
      <c r="X155" s="1" t="s">
        <v>208</v>
      </c>
      <c r="Y155" s="1" t="s">
        <v>209</v>
      </c>
      <c r="AA155" s="8" t="s">
        <v>210</v>
      </c>
      <c r="AC155" s="8" t="s">
        <v>269</v>
      </c>
      <c r="AD155" s="8" t="s">
        <v>726</v>
      </c>
      <c r="AE155" s="8" t="s">
        <v>232</v>
      </c>
      <c r="AF155" s="8" t="s">
        <v>220</v>
      </c>
      <c r="AG155" s="8" t="s">
        <v>320</v>
      </c>
      <c r="AH155" s="8" t="s">
        <v>728</v>
      </c>
      <c r="AI155" s="8" t="s">
        <v>235</v>
      </c>
    </row>
    <row r="156" spans="1:39" x14ac:dyDescent="0.2">
      <c r="AC156" s="8">
        <v>1</v>
      </c>
      <c r="AD156" s="8">
        <v>0.5</v>
      </c>
      <c r="AE156" s="8">
        <v>10</v>
      </c>
      <c r="AF156" s="8">
        <v>350</v>
      </c>
      <c r="AG156" s="8">
        <v>1</v>
      </c>
      <c r="AH156" s="8">
        <v>1</v>
      </c>
      <c r="AI156" s="8">
        <v>15</v>
      </c>
    </row>
    <row r="157" spans="1:39" x14ac:dyDescent="0.2">
      <c r="A157" s="1" t="s">
        <v>720</v>
      </c>
      <c r="B157" s="1" t="s">
        <v>733</v>
      </c>
      <c r="C157" s="1" t="s">
        <v>205</v>
      </c>
      <c r="D157" s="1" t="str">
        <f t="shared" si="55"/>
        <v>abilities/heroes/lina/lina_1</v>
      </c>
      <c r="E157" s="1" t="str">
        <f t="shared" si="50"/>
        <v>lina_1</v>
      </c>
      <c r="F157" s="1" t="s">
        <v>206</v>
      </c>
      <c r="I157" s="1">
        <v>20</v>
      </c>
      <c r="J157" s="1">
        <v>1</v>
      </c>
      <c r="K157" s="1">
        <v>3</v>
      </c>
      <c r="L157" s="1" t="s">
        <v>448</v>
      </c>
      <c r="M157" s="1">
        <v>2000</v>
      </c>
      <c r="N157" s="1">
        <v>0.48</v>
      </c>
      <c r="Q157" s="1">
        <v>12</v>
      </c>
      <c r="S157" s="1">
        <v>1</v>
      </c>
      <c r="T157" s="1">
        <v>1</v>
      </c>
      <c r="U157" s="1" t="s">
        <v>218</v>
      </c>
      <c r="W157" s="1" t="s">
        <v>89</v>
      </c>
      <c r="X157" s="1" t="s">
        <v>208</v>
      </c>
      <c r="Y157" s="1" t="s">
        <v>209</v>
      </c>
      <c r="AA157" s="8" t="s">
        <v>210</v>
      </c>
      <c r="AC157" s="8" t="s">
        <v>219</v>
      </c>
      <c r="AD157" s="8" t="s">
        <v>232</v>
      </c>
      <c r="AE157" s="8" t="s">
        <v>269</v>
      </c>
      <c r="AF157" s="8" t="s">
        <v>272</v>
      </c>
      <c r="AG157" s="8" t="s">
        <v>468</v>
      </c>
      <c r="AH157" s="8" t="s">
        <v>211</v>
      </c>
      <c r="AI157" s="8" t="s">
        <v>695</v>
      </c>
      <c r="AJ157" s="8" t="s">
        <v>731</v>
      </c>
      <c r="AK157" s="8" t="s">
        <v>728</v>
      </c>
      <c r="AL157" s="8" t="s">
        <v>582</v>
      </c>
      <c r="AM157" s="8" t="s">
        <v>470</v>
      </c>
    </row>
    <row r="158" spans="1:39" x14ac:dyDescent="0.2">
      <c r="AC158" s="8" t="s">
        <v>384</v>
      </c>
      <c r="AD158" s="8">
        <v>3</v>
      </c>
      <c r="AE158" s="8" t="s">
        <v>349</v>
      </c>
      <c r="AF158" s="8">
        <v>2000</v>
      </c>
      <c r="AG158" s="8">
        <v>200</v>
      </c>
      <c r="AH158" s="8">
        <v>1.5</v>
      </c>
      <c r="AI158" s="8">
        <v>100</v>
      </c>
      <c r="AJ158" s="8">
        <v>3.5</v>
      </c>
      <c r="AK158" s="8">
        <v>6</v>
      </c>
      <c r="AL158" s="8">
        <v>6</v>
      </c>
      <c r="AM158" s="8">
        <v>20</v>
      </c>
    </row>
    <row r="159" spans="1:39" x14ac:dyDescent="0.2">
      <c r="A159" s="1" t="s">
        <v>721</v>
      </c>
      <c r="B159" s="1" t="s">
        <v>736</v>
      </c>
      <c r="C159" s="1" t="s">
        <v>205</v>
      </c>
      <c r="D159" s="1" t="str">
        <f t="shared" si="55"/>
        <v>abilities/heroes/lina/lina_2</v>
      </c>
      <c r="E159" s="1" t="str">
        <f t="shared" si="50"/>
        <v>lina_2</v>
      </c>
      <c r="F159" s="1" t="s">
        <v>206</v>
      </c>
      <c r="I159" s="1">
        <v>20</v>
      </c>
      <c r="J159" s="1">
        <v>1</v>
      </c>
      <c r="K159" s="1">
        <v>3</v>
      </c>
      <c r="L159" s="1" t="s">
        <v>448</v>
      </c>
      <c r="M159" s="1">
        <v>1300</v>
      </c>
      <c r="N159" s="1">
        <v>0.48</v>
      </c>
      <c r="Q159" s="1">
        <v>6</v>
      </c>
      <c r="S159" s="1">
        <v>1</v>
      </c>
      <c r="T159" s="1">
        <v>2</v>
      </c>
      <c r="U159" s="1" t="s">
        <v>218</v>
      </c>
      <c r="W159" s="1" t="s">
        <v>308</v>
      </c>
      <c r="X159" s="1" t="s">
        <v>208</v>
      </c>
      <c r="Y159" s="1" t="s">
        <v>209</v>
      </c>
      <c r="AA159" s="8" t="s">
        <v>210</v>
      </c>
      <c r="AC159" s="8" t="s">
        <v>211</v>
      </c>
      <c r="AD159" s="8" t="s">
        <v>269</v>
      </c>
      <c r="AE159" s="8" t="s">
        <v>220</v>
      </c>
      <c r="AF159" s="8" t="s">
        <v>219</v>
      </c>
      <c r="AG159" s="8" t="s">
        <v>737</v>
      </c>
      <c r="AH159" s="8" t="s">
        <v>232</v>
      </c>
      <c r="AI159" s="8" t="s">
        <v>320</v>
      </c>
      <c r="AJ159" s="8" t="s">
        <v>278</v>
      </c>
      <c r="AK159" s="8" t="s">
        <v>728</v>
      </c>
      <c r="AL159" s="8" t="s">
        <v>234</v>
      </c>
    </row>
    <row r="160" spans="1:39" x14ac:dyDescent="0.2">
      <c r="AC160" s="8">
        <v>1.5</v>
      </c>
      <c r="AD160" s="8" t="s">
        <v>347</v>
      </c>
      <c r="AE160" s="8">
        <v>350</v>
      </c>
      <c r="AF160" s="8" t="s">
        <v>417</v>
      </c>
      <c r="AG160" s="8" t="s">
        <v>354</v>
      </c>
      <c r="AH160" s="8">
        <v>3</v>
      </c>
      <c r="AI160" s="8">
        <v>1</v>
      </c>
      <c r="AJ160" s="8">
        <v>80</v>
      </c>
      <c r="AK160" s="8">
        <v>3</v>
      </c>
      <c r="AL160" s="8">
        <v>2</v>
      </c>
    </row>
    <row r="161" spans="1:39" x14ac:dyDescent="0.2">
      <c r="A161" s="1" t="s">
        <v>722</v>
      </c>
      <c r="B161" s="1" t="s">
        <v>734</v>
      </c>
      <c r="C161" s="1" t="s">
        <v>205</v>
      </c>
      <c r="D161" s="1" t="str">
        <f t="shared" si="55"/>
        <v>abilities/heroes/lina/lina_3</v>
      </c>
      <c r="E161" s="1" t="str">
        <f t="shared" si="50"/>
        <v>lina_3</v>
      </c>
      <c r="F161" s="1" t="s">
        <v>206</v>
      </c>
      <c r="I161" s="1">
        <v>20</v>
      </c>
      <c r="J161" s="1">
        <v>1</v>
      </c>
      <c r="K161" s="1">
        <v>3</v>
      </c>
      <c r="W161" s="1" t="s">
        <v>0</v>
      </c>
      <c r="X161" s="1" t="s">
        <v>208</v>
      </c>
      <c r="Y161" s="1" t="s">
        <v>209</v>
      </c>
      <c r="AA161" s="8" t="s">
        <v>210</v>
      </c>
      <c r="AC161" s="8" t="s">
        <v>269</v>
      </c>
      <c r="AD161" s="8" t="s">
        <v>421</v>
      </c>
      <c r="AE161" s="8" t="s">
        <v>232</v>
      </c>
      <c r="AF161" s="8" t="s">
        <v>320</v>
      </c>
      <c r="AG161" s="8" t="s">
        <v>728</v>
      </c>
    </row>
    <row r="162" spans="1:39" x14ac:dyDescent="0.2">
      <c r="AC162" s="8" t="s">
        <v>724</v>
      </c>
      <c r="AD162" s="8">
        <v>10</v>
      </c>
      <c r="AE162" s="8">
        <v>5</v>
      </c>
      <c r="AF162" s="8">
        <v>1</v>
      </c>
      <c r="AG162" s="8">
        <v>1</v>
      </c>
    </row>
    <row r="163" spans="1:39" x14ac:dyDescent="0.2">
      <c r="A163" s="1" t="s">
        <v>723</v>
      </c>
      <c r="B163" s="1" t="s">
        <v>735</v>
      </c>
      <c r="C163" s="1" t="s">
        <v>205</v>
      </c>
      <c r="D163" s="1" t="str">
        <f t="shared" si="55"/>
        <v>abilities/heroes/lina/lina_4</v>
      </c>
      <c r="E163" s="1" t="str">
        <f t="shared" si="50"/>
        <v>lina_4</v>
      </c>
      <c r="F163" s="1" t="s">
        <v>245</v>
      </c>
      <c r="I163" s="1">
        <v>8</v>
      </c>
      <c r="J163" s="1">
        <v>8</v>
      </c>
      <c r="K163" s="1">
        <v>24</v>
      </c>
      <c r="L163" s="1" t="s">
        <v>226</v>
      </c>
      <c r="N163" s="1">
        <v>0.3</v>
      </c>
      <c r="Q163" s="1">
        <v>30</v>
      </c>
      <c r="S163" s="1">
        <v>1</v>
      </c>
      <c r="T163" s="1">
        <v>3</v>
      </c>
      <c r="U163" s="1" t="s">
        <v>502</v>
      </c>
      <c r="W163" s="1" t="s">
        <v>88</v>
      </c>
      <c r="X163" s="1" t="s">
        <v>208</v>
      </c>
      <c r="Y163" s="1" t="s">
        <v>209</v>
      </c>
      <c r="AA163" s="8" t="s">
        <v>210</v>
      </c>
      <c r="AC163" s="8" t="s">
        <v>269</v>
      </c>
      <c r="AD163" s="8" t="s">
        <v>220</v>
      </c>
      <c r="AE163" s="8" t="s">
        <v>399</v>
      </c>
      <c r="AF163" s="8" t="s">
        <v>211</v>
      </c>
      <c r="AG163" s="8" t="s">
        <v>288</v>
      </c>
      <c r="AH163" s="8" t="s">
        <v>729</v>
      </c>
      <c r="AI163" s="8" t="s">
        <v>730</v>
      </c>
      <c r="AJ163" s="8" t="s">
        <v>320</v>
      </c>
      <c r="AK163" s="8" t="s">
        <v>232</v>
      </c>
      <c r="AL163" s="8" t="s">
        <v>728</v>
      </c>
      <c r="AM163" s="8" t="s">
        <v>738</v>
      </c>
    </row>
    <row r="164" spans="1:39" x14ac:dyDescent="0.2">
      <c r="AC164" s="8" t="s">
        <v>725</v>
      </c>
      <c r="AD164" s="8">
        <v>250</v>
      </c>
      <c r="AE164" s="8">
        <v>800</v>
      </c>
      <c r="AF164" s="8" t="s">
        <v>727</v>
      </c>
      <c r="AG164" s="8">
        <v>1</v>
      </c>
      <c r="AH164" s="8">
        <v>12</v>
      </c>
      <c r="AI164" s="8">
        <v>2</v>
      </c>
      <c r="AJ164" s="8">
        <v>0.25</v>
      </c>
      <c r="AK164" s="8">
        <v>3</v>
      </c>
      <c r="AL164" s="8">
        <v>2</v>
      </c>
      <c r="AM164" s="8">
        <v>60</v>
      </c>
    </row>
  </sheetData>
  <phoneticPr fontId="1" type="noConversion"/>
  <conditionalFormatting sqref="A3:XFD10000">
    <cfRule type="expression" dxfId="2" priority="82">
      <formula>MOD(ROW(A4),2)=0</formula>
    </cfRule>
    <cfRule type="expression" dxfId="1" priority="83">
      <formula>MOD(ROW(A4),4)&lt;2</formula>
    </cfRule>
    <cfRule type="expression" dxfId="0" priority="86">
      <formula>MOD(ROW(A6),4)&lt;2</formula>
    </cfRule>
  </conditionalFormatting>
  <conditionalFormatting sqref="A3:Z10000">
    <cfRule type="expression" dxfId="3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10" priority="16"/>
  </conditionalFormatting>
  <conditionalFormatting sqref="B1:C42">
    <cfRule type="duplicateValues" dxfId="9" priority="3"/>
  </conditionalFormatting>
  <conditionalFormatting sqref="B43:C43">
    <cfRule type="duplicateValues" dxfId="8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2390-51C9-433F-8B70-97FAC92F2311}">
  <sheetPr codeName="Sheet3"/>
  <dimension ref="A1:AR162"/>
  <sheetViews>
    <sheetView workbookViewId="0">
      <pane xSplit="2" ySplit="2" topLeftCell="AC57" activePane="bottomRight" state="frozen"/>
      <selection pane="topRight" activeCell="C1" sqref="C1"/>
      <selection pane="bottomLeft" activeCell="A3" sqref="A3"/>
      <selection pane="bottomRight" activeCell="B60" sqref="B60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67.625" style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744</v>
      </c>
      <c r="C73" s="1" t="s">
        <v>205</v>
      </c>
      <c r="D73" s="1" t="s">
        <v>746</v>
      </c>
      <c r="E73" s="1" t="s">
        <v>748</v>
      </c>
      <c r="F73" s="1" t="s">
        <v>206</v>
      </c>
      <c r="G73" s="1" t="s">
        <v>459</v>
      </c>
      <c r="I73" s="1">
        <v>1</v>
      </c>
      <c r="M73" s="1">
        <v>1200</v>
      </c>
      <c r="Q73" s="1">
        <v>0</v>
      </c>
      <c r="S73" s="1">
        <v>1</v>
      </c>
      <c r="T73" s="1">
        <v>1</v>
      </c>
      <c r="W73" s="1" t="s">
        <v>743</v>
      </c>
      <c r="X73" s="1" t="s">
        <v>208</v>
      </c>
      <c r="Y73" s="1" t="s">
        <v>209</v>
      </c>
      <c r="AC73" s="8" t="s">
        <v>742</v>
      </c>
      <c r="AD73" s="8" t="s">
        <v>320</v>
      </c>
      <c r="AE73" s="8" t="s">
        <v>232</v>
      </c>
      <c r="AR73" s="1">
        <v>6</v>
      </c>
    </row>
    <row r="74" spans="1:44" x14ac:dyDescent="0.2">
      <c r="AC74" s="8">
        <v>8</v>
      </c>
      <c r="AD74" s="8">
        <v>0.1</v>
      </c>
      <c r="AE74" s="8">
        <v>10</v>
      </c>
    </row>
    <row r="75" spans="1:44" x14ac:dyDescent="0.2">
      <c r="A75" s="1" t="s">
        <v>745</v>
      </c>
      <c r="B75" s="1" t="s">
        <v>741</v>
      </c>
      <c r="C75" s="1" t="s">
        <v>205</v>
      </c>
      <c r="D75" s="1" t="s">
        <v>747</v>
      </c>
      <c r="E75" s="1" t="s">
        <v>749</v>
      </c>
      <c r="F75" s="1" t="s">
        <v>206</v>
      </c>
      <c r="G75" s="1" t="s">
        <v>459</v>
      </c>
      <c r="I75" s="1">
        <v>1</v>
      </c>
      <c r="J75" s="1">
        <v>1</v>
      </c>
      <c r="K75" s="1">
        <v>3</v>
      </c>
      <c r="L75" s="1" t="s">
        <v>410</v>
      </c>
      <c r="M75" s="1">
        <v>900</v>
      </c>
      <c r="N75" s="1">
        <v>0.15</v>
      </c>
      <c r="Q75" s="1">
        <v>6</v>
      </c>
      <c r="S75" s="1">
        <v>1</v>
      </c>
      <c r="T75" s="1">
        <v>1</v>
      </c>
      <c r="U75" s="1">
        <v>80</v>
      </c>
      <c r="W75" s="1" t="s">
        <v>88</v>
      </c>
      <c r="X75" s="1" t="s">
        <v>208</v>
      </c>
      <c r="Y75" s="1" t="s">
        <v>209</v>
      </c>
      <c r="AA75" s="8" t="s">
        <v>364</v>
      </c>
      <c r="AC75" s="8" t="s">
        <v>219</v>
      </c>
      <c r="AD75" s="8" t="s">
        <v>269</v>
      </c>
      <c r="AE75" s="8" t="s">
        <v>220</v>
      </c>
      <c r="AF75" s="8" t="s">
        <v>320</v>
      </c>
      <c r="AR75" s="1">
        <v>6</v>
      </c>
    </row>
    <row r="76" spans="1:44" x14ac:dyDescent="0.2">
      <c r="AC76" s="8" t="s">
        <v>343</v>
      </c>
      <c r="AD76" s="8" t="s">
        <v>354</v>
      </c>
      <c r="AE76" s="8">
        <v>450</v>
      </c>
      <c r="AF76" s="8">
        <v>0.1</v>
      </c>
    </row>
    <row r="77" spans="1:44" x14ac:dyDescent="0.2">
      <c r="A77" s="1" t="s">
        <v>752</v>
      </c>
      <c r="B77" s="1" t="s">
        <v>754</v>
      </c>
      <c r="C77" s="1" t="s">
        <v>205</v>
      </c>
      <c r="D77" s="1" t="s">
        <v>759</v>
      </c>
      <c r="E77" s="1" t="s">
        <v>755</v>
      </c>
      <c r="F77" s="1" t="s">
        <v>206</v>
      </c>
      <c r="G77" s="1" t="s">
        <v>459</v>
      </c>
      <c r="I77" s="1">
        <v>1</v>
      </c>
      <c r="J77" s="1">
        <v>1</v>
      </c>
      <c r="K77" s="1">
        <v>3</v>
      </c>
      <c r="L77" s="1" t="s">
        <v>226</v>
      </c>
      <c r="M77" s="1">
        <v>1200</v>
      </c>
      <c r="Q77" s="1">
        <v>0</v>
      </c>
      <c r="S77" s="1">
        <v>1</v>
      </c>
      <c r="T77" s="1">
        <v>1</v>
      </c>
      <c r="U77" s="1">
        <v>80</v>
      </c>
      <c r="W77" s="1" t="s">
        <v>758</v>
      </c>
      <c r="X77" s="1" t="s">
        <v>227</v>
      </c>
      <c r="Y77" s="1" t="s">
        <v>209</v>
      </c>
      <c r="AA77" s="8" t="s">
        <v>364</v>
      </c>
      <c r="AC77" s="8" t="s">
        <v>762</v>
      </c>
      <c r="AD77" s="8" t="s">
        <v>232</v>
      </c>
      <c r="AE77" s="8" t="s">
        <v>310</v>
      </c>
      <c r="AR77" s="1">
        <v>6</v>
      </c>
    </row>
    <row r="78" spans="1:44" x14ac:dyDescent="0.2">
      <c r="AC78" s="8" t="s">
        <v>763</v>
      </c>
      <c r="AD78" s="8" t="s">
        <v>764</v>
      </c>
      <c r="AE78" s="8" t="s">
        <v>765</v>
      </c>
    </row>
    <row r="79" spans="1:44" x14ac:dyDescent="0.2">
      <c r="A79" s="1" t="s">
        <v>753</v>
      </c>
      <c r="B79" s="1" t="s">
        <v>741</v>
      </c>
      <c r="C79" s="1" t="s">
        <v>205</v>
      </c>
      <c r="D79" s="1" t="s">
        <v>760</v>
      </c>
      <c r="E79" s="1" t="s">
        <v>757</v>
      </c>
      <c r="F79" s="1" t="s">
        <v>206</v>
      </c>
      <c r="G79" s="1" t="s">
        <v>459</v>
      </c>
      <c r="I79" s="1">
        <v>1</v>
      </c>
      <c r="J79" s="1">
        <v>1</v>
      </c>
      <c r="K79" s="1">
        <v>3</v>
      </c>
      <c r="L79" s="1" t="s">
        <v>410</v>
      </c>
      <c r="M79" s="1">
        <v>900</v>
      </c>
      <c r="N79" s="1">
        <v>0.15</v>
      </c>
      <c r="Q79" s="1">
        <v>6</v>
      </c>
      <c r="S79" s="1">
        <v>1</v>
      </c>
      <c r="T79" s="1">
        <v>1</v>
      </c>
      <c r="U79" s="8">
        <v>80</v>
      </c>
      <c r="W79" s="1" t="s">
        <v>308</v>
      </c>
      <c r="X79" s="1" t="s">
        <v>208</v>
      </c>
      <c r="Y79" s="1" t="s">
        <v>209</v>
      </c>
      <c r="AA79" s="8" t="s">
        <v>364</v>
      </c>
      <c r="AC79" s="8" t="s">
        <v>219</v>
      </c>
      <c r="AD79" s="8" t="s">
        <v>269</v>
      </c>
      <c r="AE79" s="8" t="s">
        <v>220</v>
      </c>
      <c r="AF79" s="8" t="s">
        <v>320</v>
      </c>
      <c r="AR79" s="1">
        <v>6</v>
      </c>
    </row>
    <row r="80" spans="1:44" x14ac:dyDescent="0.2">
      <c r="AC80" s="8" t="s">
        <v>343</v>
      </c>
      <c r="AD80" s="8" t="s">
        <v>354</v>
      </c>
      <c r="AE80" s="8">
        <v>450</v>
      </c>
      <c r="AF80" s="8">
        <v>0.1</v>
      </c>
    </row>
    <row r="81" spans="1:44" x14ac:dyDescent="0.2">
      <c r="A81" s="1" t="s">
        <v>750</v>
      </c>
      <c r="B81" s="1" t="s">
        <v>435</v>
      </c>
      <c r="C81" s="1" t="s">
        <v>205</v>
      </c>
      <c r="D81" s="1" t="s">
        <v>761</v>
      </c>
      <c r="E81" s="1" t="s">
        <v>756</v>
      </c>
      <c r="F81" s="1" t="s">
        <v>245</v>
      </c>
      <c r="G81" s="1" t="s">
        <v>460</v>
      </c>
      <c r="I81" s="1">
        <v>8</v>
      </c>
      <c r="J81" s="1">
        <v>8</v>
      </c>
      <c r="K81" s="1">
        <v>24</v>
      </c>
      <c r="L81" s="1" t="s">
        <v>751</v>
      </c>
      <c r="M81" s="1">
        <v>600</v>
      </c>
      <c r="N81" s="1">
        <v>0</v>
      </c>
      <c r="Q81" s="1">
        <v>16</v>
      </c>
      <c r="U81" s="1">
        <v>110</v>
      </c>
      <c r="W81" s="1" t="s">
        <v>89</v>
      </c>
      <c r="X81" s="1" t="s">
        <v>208</v>
      </c>
      <c r="Y81" s="1" t="s">
        <v>209</v>
      </c>
      <c r="Z81" s="1" t="s">
        <v>467</v>
      </c>
      <c r="AA81" s="8" t="s">
        <v>364</v>
      </c>
      <c r="AC81" s="8" t="s">
        <v>232</v>
      </c>
      <c r="AD81" s="8" t="s">
        <v>220</v>
      </c>
      <c r="AE81" s="8" t="s">
        <v>320</v>
      </c>
      <c r="AF81" s="8" t="s">
        <v>269</v>
      </c>
      <c r="AG81" s="8" t="s">
        <v>426</v>
      </c>
      <c r="AH81" s="8" t="s">
        <v>320</v>
      </c>
      <c r="AI81" s="8" t="s">
        <v>232</v>
      </c>
      <c r="AR81" s="1">
        <v>9</v>
      </c>
    </row>
    <row r="82" spans="1:44" x14ac:dyDescent="0.2">
      <c r="AC82" s="8" t="s">
        <v>413</v>
      </c>
      <c r="AD82" s="8">
        <v>600</v>
      </c>
      <c r="AE82" s="8">
        <v>0.05</v>
      </c>
      <c r="AF82" s="8" t="s">
        <v>425</v>
      </c>
      <c r="AG82" s="8">
        <v>4</v>
      </c>
      <c r="AH82" s="8">
        <v>0.1</v>
      </c>
      <c r="AI82" s="8">
        <v>3</v>
      </c>
    </row>
    <row r="83" spans="1:44" x14ac:dyDescent="0.2">
      <c r="A83" s="1" t="s">
        <v>473</v>
      </c>
      <c r="B83" s="1" t="s">
        <v>474</v>
      </c>
      <c r="C83" s="1" t="s">
        <v>205</v>
      </c>
      <c r="D83" s="1" t="str">
        <f t="shared" ref="D83" si="26">"abilities/heroes/"&amp;LEFT(A83,LEN(A83)-2)&amp;"/"&amp;A83</f>
        <v>abilities/heroes/nevermore/nevermore_0</v>
      </c>
      <c r="E83" s="1" t="str">
        <f t="shared" si="21"/>
        <v>nevermore_0</v>
      </c>
      <c r="F83" s="1" t="s">
        <v>206</v>
      </c>
      <c r="I83" s="1">
        <v>1</v>
      </c>
      <c r="Q83" s="1">
        <v>1</v>
      </c>
      <c r="R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AA83" s="8" t="s">
        <v>210</v>
      </c>
      <c r="AC83" s="8" t="s">
        <v>220</v>
      </c>
      <c r="AD83" s="8" t="s">
        <v>269</v>
      </c>
      <c r="AE83" s="8" t="s">
        <v>454</v>
      </c>
      <c r="AF83" s="8" t="s">
        <v>518</v>
      </c>
      <c r="AG83" s="8" t="s">
        <v>517</v>
      </c>
    </row>
    <row r="84" spans="1:44" x14ac:dyDescent="0.2">
      <c r="AC84" s="8">
        <v>250</v>
      </c>
      <c r="AD84" s="8">
        <v>5</v>
      </c>
      <c r="AE84" s="8">
        <v>0.5</v>
      </c>
      <c r="AF84" s="8">
        <v>90</v>
      </c>
      <c r="AG84" s="8">
        <v>30</v>
      </c>
    </row>
    <row r="85" spans="1:44" x14ac:dyDescent="0.2">
      <c r="A85" s="1" t="s">
        <v>495</v>
      </c>
      <c r="B85" s="1" t="s">
        <v>475</v>
      </c>
      <c r="C85" s="1" t="s">
        <v>205</v>
      </c>
      <c r="D85" s="1" t="str">
        <f t="shared" ref="D85" si="27">"abilities/heroes/"&amp;LEFT(A85,LEN(A85)-2)&amp;"/"&amp;A85</f>
        <v>abilities/heroes/nevermore/nevermore_1</v>
      </c>
      <c r="E85" s="1" t="str">
        <f t="shared" si="21"/>
        <v>nevermore_1</v>
      </c>
      <c r="F85" s="1" t="s">
        <v>206</v>
      </c>
      <c r="I85" s="1">
        <v>20</v>
      </c>
      <c r="J85" s="1">
        <v>1</v>
      </c>
      <c r="K85" s="1">
        <v>3</v>
      </c>
      <c r="L85" s="1" t="s">
        <v>499</v>
      </c>
      <c r="N85" s="1">
        <v>0.55000000000000004</v>
      </c>
      <c r="Q85" s="1">
        <v>8</v>
      </c>
      <c r="U85" s="1" t="s">
        <v>494</v>
      </c>
      <c r="W85" s="1" t="s">
        <v>479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269</v>
      </c>
      <c r="AE85" s="8" t="s">
        <v>503</v>
      </c>
      <c r="AF85" s="8" t="s">
        <v>480</v>
      </c>
      <c r="AG85" s="8" t="s">
        <v>488</v>
      </c>
      <c r="AH85" s="8" t="s">
        <v>490</v>
      </c>
      <c r="AI85" s="8" t="s">
        <v>481</v>
      </c>
      <c r="AJ85" s="8" t="s">
        <v>510</v>
      </c>
      <c r="AK85" s="8" t="s">
        <v>232</v>
      </c>
      <c r="AL85" s="8" t="s">
        <v>489</v>
      </c>
      <c r="AM85" s="8" t="s">
        <v>509</v>
      </c>
    </row>
    <row r="86" spans="1:44" x14ac:dyDescent="0.2">
      <c r="AC86" s="8" t="s">
        <v>515</v>
      </c>
      <c r="AD86" s="8" t="s">
        <v>347</v>
      </c>
      <c r="AE86" s="8">
        <v>300</v>
      </c>
      <c r="AF86" s="8">
        <v>3</v>
      </c>
      <c r="AG86" s="8" t="s">
        <v>493</v>
      </c>
      <c r="AH86" s="8">
        <v>30</v>
      </c>
      <c r="AI86" s="8">
        <v>10</v>
      </c>
      <c r="AJ86" s="8">
        <v>80</v>
      </c>
      <c r="AK86" s="8">
        <v>8</v>
      </c>
      <c r="AL86" s="8">
        <v>3</v>
      </c>
      <c r="AM86" s="8">
        <v>50</v>
      </c>
    </row>
    <row r="87" spans="1:44" x14ac:dyDescent="0.2">
      <c r="A87" s="1" t="s">
        <v>496</v>
      </c>
      <c r="B87" s="1" t="s">
        <v>477</v>
      </c>
      <c r="C87" s="1" t="s">
        <v>205</v>
      </c>
      <c r="D87" s="1" t="str">
        <f t="shared" ref="D87" si="28">"abilities/heroes/"&amp;LEFT(A87,LEN(A87)-2)&amp;"/"&amp;A87</f>
        <v>abilities/heroes/nevermore/nevermore_2</v>
      </c>
      <c r="E87" s="1" t="str">
        <f t="shared" si="21"/>
        <v>nevermore_2</v>
      </c>
      <c r="F87" s="1" t="s">
        <v>206</v>
      </c>
      <c r="I87" s="1">
        <v>20</v>
      </c>
      <c r="J87" s="1">
        <v>1</v>
      </c>
      <c r="K87" s="1">
        <v>3</v>
      </c>
      <c r="L87" s="1" t="s">
        <v>500</v>
      </c>
      <c r="N87" s="1">
        <v>0.55000000000000004</v>
      </c>
      <c r="Q87" s="1">
        <v>45</v>
      </c>
      <c r="S87" s="1">
        <v>1</v>
      </c>
      <c r="T87" s="1">
        <v>3</v>
      </c>
      <c r="U87" s="1" t="s">
        <v>218</v>
      </c>
      <c r="W87" s="1" t="s">
        <v>88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231</v>
      </c>
      <c r="AF87" s="8" t="s">
        <v>403</v>
      </c>
      <c r="AG87" s="8" t="s">
        <v>312</v>
      </c>
      <c r="AH87" s="8" t="s">
        <v>232</v>
      </c>
      <c r="AI87" s="8" t="s">
        <v>220</v>
      </c>
      <c r="AJ87" s="8" t="s">
        <v>233</v>
      </c>
    </row>
    <row r="88" spans="1:44" x14ac:dyDescent="0.2">
      <c r="AC88" s="8" t="s">
        <v>343</v>
      </c>
      <c r="AD88" s="8" t="s">
        <v>354</v>
      </c>
      <c r="AE88" s="8" t="s">
        <v>516</v>
      </c>
      <c r="AF88" s="8">
        <v>40</v>
      </c>
      <c r="AG88" s="8">
        <v>20</v>
      </c>
      <c r="AH88" s="8">
        <v>16</v>
      </c>
      <c r="AI88" s="8">
        <v>900</v>
      </c>
      <c r="AJ88" s="8">
        <v>0.5</v>
      </c>
    </row>
    <row r="89" spans="1:44" x14ac:dyDescent="0.2">
      <c r="A89" s="1" t="s">
        <v>497</v>
      </c>
      <c r="B89" s="1" t="s">
        <v>478</v>
      </c>
      <c r="C89" s="1" t="s">
        <v>205</v>
      </c>
      <c r="D89" s="1" t="str">
        <f t="shared" ref="D89" si="29">"abilities/heroes/"&amp;LEFT(A89,LEN(A89)-2)&amp;"/"&amp;A89</f>
        <v>abilities/heroes/nevermore/nevermore_3</v>
      </c>
      <c r="E89" s="1" t="str">
        <f t="shared" si="21"/>
        <v>nevermore_3</v>
      </c>
      <c r="F89" s="1" t="s">
        <v>206</v>
      </c>
      <c r="I89" s="1">
        <v>20</v>
      </c>
      <c r="J89" s="1">
        <v>1</v>
      </c>
      <c r="K89" s="1">
        <v>3</v>
      </c>
      <c r="S89" s="1">
        <v>1</v>
      </c>
      <c r="T89" s="1">
        <v>4</v>
      </c>
      <c r="W89" s="1" t="s">
        <v>492</v>
      </c>
      <c r="AA89" s="8" t="s">
        <v>210</v>
      </c>
      <c r="AC89" s="8" t="s">
        <v>482</v>
      </c>
      <c r="AD89" s="8" t="s">
        <v>254</v>
      </c>
      <c r="AE89" s="8" t="s">
        <v>483</v>
      </c>
      <c r="AF89" s="8" t="s">
        <v>238</v>
      </c>
    </row>
    <row r="90" spans="1:44" x14ac:dyDescent="0.2">
      <c r="AC90" s="8" t="s">
        <v>354</v>
      </c>
      <c r="AD90" s="8" t="s">
        <v>348</v>
      </c>
      <c r="AE90" s="8">
        <v>2</v>
      </c>
      <c r="AF90" s="8" t="s">
        <v>340</v>
      </c>
    </row>
    <row r="91" spans="1:44" x14ac:dyDescent="0.2">
      <c r="A91" s="1" t="s">
        <v>498</v>
      </c>
      <c r="B91" s="1" t="s">
        <v>476</v>
      </c>
      <c r="C91" s="1" t="s">
        <v>205</v>
      </c>
      <c r="D91" s="1" t="str">
        <f t="shared" ref="D91" si="30">"abilities/heroes/"&amp;LEFT(A91,LEN(A91)-2)&amp;"/"&amp;A91</f>
        <v>abilities/heroes/nevermore/nevermore_4</v>
      </c>
      <c r="E91" s="1" t="str">
        <f t="shared" si="21"/>
        <v>nevermore_4</v>
      </c>
      <c r="F91" s="1" t="s">
        <v>245</v>
      </c>
      <c r="I91" s="1">
        <v>8</v>
      </c>
      <c r="J91" s="1">
        <v>8</v>
      </c>
      <c r="K91" s="1">
        <v>24</v>
      </c>
      <c r="L91" s="1" t="s">
        <v>501</v>
      </c>
      <c r="N91" s="1">
        <v>1.67</v>
      </c>
      <c r="Q91" s="1">
        <v>50</v>
      </c>
      <c r="S91" s="1">
        <v>1</v>
      </c>
      <c r="T91" s="1">
        <v>2</v>
      </c>
      <c r="U91" s="1" t="s">
        <v>502</v>
      </c>
      <c r="W91" s="1" t="s">
        <v>88</v>
      </c>
      <c r="X91" s="1" t="s">
        <v>208</v>
      </c>
      <c r="Y91" s="1" t="s">
        <v>209</v>
      </c>
      <c r="AA91" s="8" t="s">
        <v>210</v>
      </c>
      <c r="AC91" s="8" t="s">
        <v>219</v>
      </c>
      <c r="AD91" s="8" t="s">
        <v>269</v>
      </c>
      <c r="AE91" s="8" t="s">
        <v>485</v>
      </c>
      <c r="AF91" s="8" t="s">
        <v>272</v>
      </c>
      <c r="AG91" s="8" t="s">
        <v>486</v>
      </c>
      <c r="AH91" s="8" t="s">
        <v>487</v>
      </c>
      <c r="AI91" s="8" t="s">
        <v>504</v>
      </c>
      <c r="AJ91" s="8" t="s">
        <v>505</v>
      </c>
      <c r="AK91" s="8" t="s">
        <v>511</v>
      </c>
      <c r="AL91" s="8" t="s">
        <v>512</v>
      </c>
      <c r="AM91" s="8" t="s">
        <v>513</v>
      </c>
      <c r="AN91" s="8" t="s">
        <v>514</v>
      </c>
    </row>
    <row r="92" spans="1:44" x14ac:dyDescent="0.2">
      <c r="AC92" s="8" t="s">
        <v>508</v>
      </c>
      <c r="AD92" s="8" t="s">
        <v>484</v>
      </c>
      <c r="AE92" s="8">
        <v>24</v>
      </c>
      <c r="AF92" s="8">
        <v>1200</v>
      </c>
      <c r="AG92" s="8">
        <v>3.6</v>
      </c>
      <c r="AH92" s="8">
        <v>125</v>
      </c>
      <c r="AI92" s="8">
        <v>350</v>
      </c>
      <c r="AJ92" s="8">
        <v>700</v>
      </c>
      <c r="AK92" s="8">
        <v>30</v>
      </c>
      <c r="AL92" s="8">
        <v>0.1</v>
      </c>
      <c r="AM92" s="8">
        <v>0.25</v>
      </c>
      <c r="AN92" s="8">
        <v>0.2</v>
      </c>
    </row>
    <row r="93" spans="1:44" x14ac:dyDescent="0.2">
      <c r="A93" s="1" t="s">
        <v>519</v>
      </c>
      <c r="B93" s="1" t="s">
        <v>520</v>
      </c>
      <c r="C93" s="1" t="s">
        <v>205</v>
      </c>
      <c r="D93" s="1" t="str">
        <f t="shared" ref="D93" si="31">"abilities/heroes/"&amp;LEFT(A93,LEN(A93)-2)&amp;"/"&amp;A93</f>
        <v>abilities/heroes/rubick/rubick_0</v>
      </c>
      <c r="E93" s="1" t="str">
        <f t="shared" si="21"/>
        <v>rubick_0</v>
      </c>
      <c r="F93" s="1" t="s">
        <v>206</v>
      </c>
      <c r="I93" s="1">
        <v>1</v>
      </c>
      <c r="S93" s="1">
        <v>1</v>
      </c>
      <c r="T93" s="1">
        <v>1</v>
      </c>
      <c r="W93" s="1" t="s">
        <v>0</v>
      </c>
      <c r="X93" s="1" t="s">
        <v>208</v>
      </c>
      <c r="Y93" s="1" t="s">
        <v>209</v>
      </c>
      <c r="Z93" s="1" t="s">
        <v>524</v>
      </c>
      <c r="AA93" s="8" t="s">
        <v>210</v>
      </c>
      <c r="AB93" s="8" t="s">
        <v>412</v>
      </c>
      <c r="AC93" s="8" t="s">
        <v>269</v>
      </c>
      <c r="AD93" s="8" t="s">
        <v>539</v>
      </c>
      <c r="AE93" s="8" t="s">
        <v>220</v>
      </c>
      <c r="AF93" s="8" t="s">
        <v>541</v>
      </c>
      <c r="AG93" s="8" t="s">
        <v>550</v>
      </c>
      <c r="AH93" s="8" t="s">
        <v>551</v>
      </c>
      <c r="AI93" s="8" t="s">
        <v>552</v>
      </c>
    </row>
    <row r="94" spans="1:44" x14ac:dyDescent="0.2">
      <c r="AC94" s="8">
        <v>10</v>
      </c>
      <c r="AD94" s="8">
        <v>5</v>
      </c>
      <c r="AE94" s="8">
        <v>200</v>
      </c>
      <c r="AF94" s="8">
        <v>50</v>
      </c>
      <c r="AG94" s="8">
        <v>5</v>
      </c>
      <c r="AH94" s="8">
        <v>5</v>
      </c>
      <c r="AI94" s="8">
        <v>500</v>
      </c>
    </row>
    <row r="95" spans="1:44" x14ac:dyDescent="0.2">
      <c r="A95" s="1" t="s">
        <v>526</v>
      </c>
      <c r="B95" s="1" t="s">
        <v>530</v>
      </c>
      <c r="C95" s="1" t="s">
        <v>205</v>
      </c>
      <c r="D95" s="1" t="str">
        <f t="shared" ref="D95" si="32">"abilities/heroes/"&amp;LEFT(A95,LEN(A95)-2)&amp;"/"&amp;A95</f>
        <v>abilities/heroes/rubick/rubick_1</v>
      </c>
      <c r="E95" s="1" t="str">
        <f t="shared" si="21"/>
        <v>rubick_1</v>
      </c>
      <c r="F95" s="1" t="s">
        <v>206</v>
      </c>
      <c r="G95" s="1" t="s">
        <v>460</v>
      </c>
      <c r="I95" s="1">
        <v>20</v>
      </c>
      <c r="J95" s="1">
        <v>1</v>
      </c>
      <c r="K95" s="1">
        <v>3</v>
      </c>
      <c r="L95" s="1" t="s">
        <v>448</v>
      </c>
      <c r="M95" s="1">
        <v>1400</v>
      </c>
      <c r="Q95" s="1">
        <v>13</v>
      </c>
      <c r="U95" s="1" t="s">
        <v>218</v>
      </c>
      <c r="W95" s="1" t="s">
        <v>308</v>
      </c>
      <c r="X95" s="1" t="s">
        <v>208</v>
      </c>
      <c r="Y95" s="1" t="s">
        <v>209</v>
      </c>
      <c r="AA95" s="8" t="s">
        <v>210</v>
      </c>
      <c r="AC95" s="8" t="s">
        <v>219</v>
      </c>
      <c r="AD95" s="8" t="s">
        <v>537</v>
      </c>
      <c r="AE95" s="8" t="s">
        <v>523</v>
      </c>
      <c r="AF95" s="8" t="s">
        <v>522</v>
      </c>
      <c r="AG95" s="8" t="s">
        <v>542</v>
      </c>
      <c r="AH95" s="8" t="s">
        <v>220</v>
      </c>
      <c r="AI95" s="8" t="s">
        <v>320</v>
      </c>
      <c r="AJ95" s="8" t="s">
        <v>211</v>
      </c>
    </row>
    <row r="96" spans="1:44" x14ac:dyDescent="0.2">
      <c r="AC96" s="8" t="s">
        <v>343</v>
      </c>
      <c r="AD96" s="8" t="s">
        <v>354</v>
      </c>
      <c r="AE96" s="8">
        <v>0.6</v>
      </c>
      <c r="AF96" s="8">
        <v>2</v>
      </c>
      <c r="AG96" s="8" t="s">
        <v>347</v>
      </c>
      <c r="AH96" s="8">
        <v>500</v>
      </c>
      <c r="AI96" s="8">
        <v>0.1</v>
      </c>
      <c r="AJ96" s="8">
        <v>1.5</v>
      </c>
    </row>
    <row r="97" spans="1:39" x14ac:dyDescent="0.2">
      <c r="A97" s="1" t="s">
        <v>527</v>
      </c>
      <c r="B97" s="1" t="s">
        <v>531</v>
      </c>
      <c r="C97" s="1" t="s">
        <v>205</v>
      </c>
      <c r="D97" s="1" t="str">
        <f t="shared" ref="D97" si="33">"abilities/heroes/"&amp;LEFT(A97,LEN(A97)-2)&amp;"/"&amp;A97</f>
        <v>abilities/heroes/rubick/rubick_2</v>
      </c>
      <c r="E97" s="1" t="str">
        <f t="shared" si="21"/>
        <v>rubick_2</v>
      </c>
      <c r="F97" s="1" t="s">
        <v>206</v>
      </c>
      <c r="I97" s="1">
        <v>20</v>
      </c>
      <c r="J97" s="1">
        <v>1</v>
      </c>
      <c r="K97" s="1">
        <v>3</v>
      </c>
      <c r="L97" s="1" t="s">
        <v>545</v>
      </c>
      <c r="M97" s="1">
        <v>3000</v>
      </c>
      <c r="O97" s="1">
        <v>3</v>
      </c>
      <c r="P97" s="1">
        <v>8</v>
      </c>
      <c r="S97" s="1">
        <v>1</v>
      </c>
      <c r="T97" s="1">
        <v>2</v>
      </c>
      <c r="U97" s="1" t="s">
        <v>534</v>
      </c>
      <c r="W97" s="1" t="s">
        <v>308</v>
      </c>
      <c r="X97" s="1" t="s">
        <v>208</v>
      </c>
      <c r="Y97" s="1" t="s">
        <v>209</v>
      </c>
      <c r="AA97" s="8" t="s">
        <v>210</v>
      </c>
      <c r="AC97" s="8" t="s">
        <v>219</v>
      </c>
      <c r="AD97" s="8" t="s">
        <v>269</v>
      </c>
      <c r="AE97" s="8" t="s">
        <v>288</v>
      </c>
      <c r="AF97" s="8" t="s">
        <v>220</v>
      </c>
      <c r="AG97" s="8" t="s">
        <v>548</v>
      </c>
      <c r="AH97" s="8" t="s">
        <v>549</v>
      </c>
      <c r="AI97" s="8" t="s">
        <v>546</v>
      </c>
      <c r="AJ97" s="8" t="s">
        <v>547</v>
      </c>
      <c r="AK97" s="8" t="s">
        <v>553</v>
      </c>
      <c r="AL97" s="8" t="s">
        <v>211</v>
      </c>
    </row>
    <row r="98" spans="1:39" x14ac:dyDescent="0.2">
      <c r="AC98" s="8" t="s">
        <v>345</v>
      </c>
      <c r="AD98" s="8" t="s">
        <v>347</v>
      </c>
      <c r="AE98" s="8">
        <v>1</v>
      </c>
      <c r="AF98" s="8">
        <v>300</v>
      </c>
      <c r="AG98" s="8">
        <v>50</v>
      </c>
      <c r="AH98" s="8">
        <v>6</v>
      </c>
      <c r="AI98" s="8">
        <v>0</v>
      </c>
      <c r="AJ98" s="8">
        <v>2</v>
      </c>
      <c r="AK98" s="8">
        <v>15</v>
      </c>
      <c r="AL98" s="8">
        <v>1</v>
      </c>
    </row>
    <row r="99" spans="1:39" x14ac:dyDescent="0.2">
      <c r="A99" s="1" t="s">
        <v>528</v>
      </c>
      <c r="B99" s="1" t="s">
        <v>532</v>
      </c>
      <c r="C99" s="1" t="s">
        <v>205</v>
      </c>
      <c r="D99" s="1" t="str">
        <f t="shared" ref="D99" si="34">"abilities/heroes/"&amp;LEFT(A99,LEN(A99)-2)&amp;"/"&amp;A99</f>
        <v>abilities/heroes/rubick/rubick_3</v>
      </c>
      <c r="E99" s="1" t="str">
        <f t="shared" si="21"/>
        <v>rubick_3</v>
      </c>
      <c r="F99" s="1" t="s">
        <v>206</v>
      </c>
      <c r="G99" s="1" t="s">
        <v>460</v>
      </c>
      <c r="I99" s="1">
        <v>20</v>
      </c>
      <c r="J99" s="1">
        <v>1</v>
      </c>
      <c r="K99" s="1">
        <v>3</v>
      </c>
      <c r="L99" s="1" t="s">
        <v>226</v>
      </c>
      <c r="M99" s="1">
        <v>1400</v>
      </c>
      <c r="Q99" s="1">
        <v>18</v>
      </c>
      <c r="S99" s="1">
        <v>1</v>
      </c>
      <c r="T99" s="1">
        <v>3</v>
      </c>
      <c r="U99" s="1" t="s">
        <v>535</v>
      </c>
      <c r="W99" s="1" t="s">
        <v>308</v>
      </c>
      <c r="X99" s="1" t="s">
        <v>208</v>
      </c>
      <c r="Y99" s="1" t="s">
        <v>209</v>
      </c>
      <c r="Z99" s="1" t="s">
        <v>524</v>
      </c>
      <c r="AA99" s="8" t="s">
        <v>210</v>
      </c>
      <c r="AB99" s="8" t="s">
        <v>412</v>
      </c>
      <c r="AC99" s="8" t="s">
        <v>219</v>
      </c>
      <c r="AD99" s="8" t="s">
        <v>269</v>
      </c>
      <c r="AE99" s="8" t="s">
        <v>288</v>
      </c>
      <c r="AF99" s="8" t="s">
        <v>220</v>
      </c>
      <c r="AG99" s="8" t="s">
        <v>232</v>
      </c>
      <c r="AH99" s="8" t="s">
        <v>320</v>
      </c>
      <c r="AI99" s="8" t="s">
        <v>546</v>
      </c>
      <c r="AJ99" s="8" t="s">
        <v>233</v>
      </c>
    </row>
    <row r="100" spans="1:39" x14ac:dyDescent="0.2">
      <c r="AC100" s="8" t="s">
        <v>345</v>
      </c>
      <c r="AD100" s="8" t="s">
        <v>347</v>
      </c>
      <c r="AE100" s="8">
        <v>1</v>
      </c>
      <c r="AF100" s="8">
        <v>400</v>
      </c>
      <c r="AG100" s="8">
        <v>5</v>
      </c>
      <c r="AH100" s="8">
        <v>0.5</v>
      </c>
      <c r="AI100" s="8">
        <v>0</v>
      </c>
      <c r="AJ100" s="8">
        <v>0.25</v>
      </c>
    </row>
    <row r="101" spans="1:39" x14ac:dyDescent="0.2">
      <c r="A101" s="1" t="s">
        <v>529</v>
      </c>
      <c r="B101" s="1" t="s">
        <v>533</v>
      </c>
      <c r="C101" s="1" t="s">
        <v>205</v>
      </c>
      <c r="D101" s="1" t="str">
        <f t="shared" ref="D101" si="35">"abilities/heroes/"&amp;LEFT(A101,LEN(A101)-2)&amp;"/"&amp;A101</f>
        <v>abilities/heroes/rubick/rubick_4</v>
      </c>
      <c r="E101" s="1" t="str">
        <f t="shared" si="21"/>
        <v>rubick_4</v>
      </c>
      <c r="F101" s="1" t="s">
        <v>245</v>
      </c>
      <c r="G101" s="1" t="s">
        <v>460</v>
      </c>
      <c r="I101" s="1">
        <v>8</v>
      </c>
      <c r="J101" s="1">
        <v>8</v>
      </c>
      <c r="K101" s="1">
        <v>24</v>
      </c>
      <c r="L101" s="1" t="s">
        <v>410</v>
      </c>
      <c r="M101" s="1">
        <v>1000</v>
      </c>
      <c r="Q101" s="1">
        <v>40</v>
      </c>
      <c r="S101" s="1">
        <v>1</v>
      </c>
      <c r="T101" s="1">
        <v>4</v>
      </c>
      <c r="U101" s="1" t="s">
        <v>536</v>
      </c>
      <c r="W101" s="1" t="s">
        <v>308</v>
      </c>
      <c r="X101" s="1" t="s">
        <v>208</v>
      </c>
      <c r="Y101" s="1" t="s">
        <v>209</v>
      </c>
      <c r="Z101" s="1" t="s">
        <v>524</v>
      </c>
      <c r="AA101" s="8" t="s">
        <v>210</v>
      </c>
      <c r="AB101" s="8" t="s">
        <v>412</v>
      </c>
      <c r="AC101" s="8" t="s">
        <v>219</v>
      </c>
      <c r="AD101" s="8" t="s">
        <v>269</v>
      </c>
      <c r="AE101" s="8" t="s">
        <v>278</v>
      </c>
      <c r="AF101" s="8" t="s">
        <v>418</v>
      </c>
      <c r="AG101" s="8" t="s">
        <v>220</v>
      </c>
      <c r="AH101" s="8" t="s">
        <v>320</v>
      </c>
      <c r="AI101" s="8" t="s">
        <v>525</v>
      </c>
      <c r="AJ101" s="8" t="s">
        <v>318</v>
      </c>
      <c r="AK101" s="8" t="s">
        <v>403</v>
      </c>
      <c r="AL101" s="8" t="s">
        <v>234</v>
      </c>
      <c r="AM101" s="8" t="s">
        <v>679</v>
      </c>
    </row>
    <row r="102" spans="1:39" x14ac:dyDescent="0.2">
      <c r="AC102" s="8" t="s">
        <v>538</v>
      </c>
      <c r="AD102" s="8" t="s">
        <v>540</v>
      </c>
      <c r="AE102" s="8">
        <v>100</v>
      </c>
      <c r="AF102" s="8">
        <v>99999</v>
      </c>
      <c r="AG102" s="8">
        <v>600</v>
      </c>
      <c r="AH102" s="8">
        <v>1</v>
      </c>
      <c r="AI102" s="8">
        <v>0.92500000000000004</v>
      </c>
      <c r="AJ102" s="8">
        <v>50</v>
      </c>
      <c r="AK102" s="8">
        <v>10</v>
      </c>
      <c r="AL102" s="8">
        <v>80</v>
      </c>
      <c r="AM102" s="8">
        <v>20</v>
      </c>
    </row>
    <row r="103" spans="1:39" x14ac:dyDescent="0.2">
      <c r="A103" s="1" t="s">
        <v>554</v>
      </c>
      <c r="B103" s="1" t="s">
        <v>555</v>
      </c>
      <c r="C103" s="1" t="s">
        <v>205</v>
      </c>
      <c r="D103" s="1" t="str">
        <f t="shared" ref="D103" si="36">"abilities/heroes/"&amp;LEFT(A103,LEN(A103)-2)&amp;"/"&amp;A103</f>
        <v>abilities/heroes/windrunner/windrunner_0</v>
      </c>
      <c r="E103" s="1" t="str">
        <f t="shared" si="21"/>
        <v>windrunner_0</v>
      </c>
      <c r="F103" s="1" t="s">
        <v>206</v>
      </c>
      <c r="G103" s="1" t="s">
        <v>459</v>
      </c>
      <c r="I103" s="1">
        <v>1</v>
      </c>
      <c r="M103" s="1">
        <v>800</v>
      </c>
      <c r="O103" s="1">
        <v>3</v>
      </c>
      <c r="P103" s="1">
        <v>16</v>
      </c>
      <c r="S103" s="1">
        <v>1</v>
      </c>
      <c r="T103" s="1">
        <v>1</v>
      </c>
      <c r="U103" s="1">
        <v>100</v>
      </c>
      <c r="W103" s="1" t="s">
        <v>567</v>
      </c>
      <c r="X103" s="1" t="s">
        <v>208</v>
      </c>
      <c r="Y103" s="1" t="s">
        <v>209</v>
      </c>
      <c r="Z103" s="1" t="s">
        <v>524</v>
      </c>
      <c r="AA103" s="8" t="s">
        <v>364</v>
      </c>
      <c r="AB103" s="8" t="s">
        <v>412</v>
      </c>
      <c r="AC103" s="8" t="s">
        <v>282</v>
      </c>
      <c r="AD103" s="8" t="s">
        <v>238</v>
      </c>
      <c r="AE103" s="8" t="s">
        <v>568</v>
      </c>
      <c r="AF103" s="8" t="s">
        <v>232</v>
      </c>
      <c r="AG103" s="8" t="s">
        <v>560</v>
      </c>
      <c r="AH103" s="8" t="s">
        <v>235</v>
      </c>
    </row>
    <row r="104" spans="1:39" x14ac:dyDescent="0.2">
      <c r="AC104" s="8">
        <v>250</v>
      </c>
      <c r="AD104" s="8">
        <v>400</v>
      </c>
      <c r="AE104" s="8">
        <v>1</v>
      </c>
      <c r="AF104" s="8">
        <v>8</v>
      </c>
      <c r="AG104" s="8">
        <v>20</v>
      </c>
      <c r="AH104" s="8">
        <v>10</v>
      </c>
    </row>
    <row r="105" spans="1:39" x14ac:dyDescent="0.2">
      <c r="A105" s="1" t="s">
        <v>561</v>
      </c>
      <c r="B105" s="1" t="s">
        <v>556</v>
      </c>
      <c r="C105" s="1" t="s">
        <v>205</v>
      </c>
      <c r="D105" s="1" t="str">
        <f t="shared" ref="D105" si="37">"abilities/heroes/"&amp;LEFT(A105,LEN(A105)-2)&amp;"/"&amp;A105</f>
        <v>abilities/heroes/windrunner/windrunner_1</v>
      </c>
      <c r="E105" s="1" t="str">
        <f t="shared" si="21"/>
        <v>windrunner_1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226</v>
      </c>
      <c r="M105" s="1">
        <v>1500</v>
      </c>
      <c r="Q105" s="1">
        <v>9</v>
      </c>
      <c r="S105" s="1">
        <v>1</v>
      </c>
      <c r="T105" s="1">
        <v>4</v>
      </c>
      <c r="U105" s="1" t="s">
        <v>372</v>
      </c>
      <c r="V105" s="1">
        <v>1</v>
      </c>
      <c r="W105" s="1" t="s">
        <v>572</v>
      </c>
      <c r="X105" s="1" t="s">
        <v>208</v>
      </c>
      <c r="Y105" s="1" t="s">
        <v>209</v>
      </c>
      <c r="AA105" s="8" t="s">
        <v>364</v>
      </c>
      <c r="AC105" s="8" t="s">
        <v>219</v>
      </c>
      <c r="AD105" s="8" t="s">
        <v>269</v>
      </c>
      <c r="AE105" s="8" t="s">
        <v>570</v>
      </c>
      <c r="AF105" s="8" t="s">
        <v>273</v>
      </c>
      <c r="AG105" s="8" t="s">
        <v>220</v>
      </c>
      <c r="AH105" s="8" t="s">
        <v>288</v>
      </c>
      <c r="AI105" s="8" t="s">
        <v>553</v>
      </c>
      <c r="AJ105" s="8" t="s">
        <v>585</v>
      </c>
      <c r="AK105" s="8" t="s">
        <v>584</v>
      </c>
      <c r="AL105" s="8" t="s">
        <v>293</v>
      </c>
    </row>
    <row r="106" spans="1:39" x14ac:dyDescent="0.2">
      <c r="AC106" s="8" t="s">
        <v>569</v>
      </c>
      <c r="AD106" s="8" t="s">
        <v>354</v>
      </c>
      <c r="AE106" s="8">
        <v>1200</v>
      </c>
      <c r="AF106" s="8">
        <v>3000</v>
      </c>
      <c r="AG106" s="8">
        <v>125</v>
      </c>
      <c r="AH106" s="8">
        <v>0.4</v>
      </c>
      <c r="AI106" s="8">
        <v>60</v>
      </c>
      <c r="AJ106" s="8">
        <v>800</v>
      </c>
      <c r="AK106" s="8">
        <v>60</v>
      </c>
      <c r="AL106" s="8">
        <v>15</v>
      </c>
    </row>
    <row r="107" spans="1:39" x14ac:dyDescent="0.2">
      <c r="A107" s="1" t="s">
        <v>562</v>
      </c>
      <c r="B107" s="1" t="s">
        <v>557</v>
      </c>
      <c r="C107" s="1" t="s">
        <v>205</v>
      </c>
      <c r="D107" s="1" t="str">
        <f t="shared" ref="D107" si="38">"abilities/heroes/"&amp;LEFT(A107,LEN(A107)-2)&amp;"/"&amp;A107</f>
        <v>abilities/heroes/windrunner/windrunner_2</v>
      </c>
      <c r="E107" s="1" t="str">
        <f t="shared" si="21"/>
        <v>windrunner_2</v>
      </c>
      <c r="F107" s="1" t="s">
        <v>206</v>
      </c>
      <c r="G107" s="1" t="s">
        <v>459</v>
      </c>
      <c r="I107" s="1">
        <v>20</v>
      </c>
      <c r="J107" s="1">
        <v>1</v>
      </c>
      <c r="K107" s="1">
        <v>3</v>
      </c>
      <c r="Q107" s="1">
        <v>20</v>
      </c>
      <c r="W107" s="1" t="s">
        <v>88</v>
      </c>
      <c r="X107" s="1" t="s">
        <v>208</v>
      </c>
      <c r="Y107" s="1" t="s">
        <v>209</v>
      </c>
      <c r="AA107" s="8" t="s">
        <v>210</v>
      </c>
      <c r="AC107" s="8" t="s">
        <v>586</v>
      </c>
      <c r="AD107" s="8" t="s">
        <v>219</v>
      </c>
      <c r="AE107" s="8" t="s">
        <v>269</v>
      </c>
      <c r="AF107" s="8" t="s">
        <v>232</v>
      </c>
      <c r="AG107" s="8" t="s">
        <v>211</v>
      </c>
      <c r="AH107" s="8" t="s">
        <v>272</v>
      </c>
      <c r="AI107" s="8" t="s">
        <v>468</v>
      </c>
      <c r="AJ107" s="8" t="s">
        <v>587</v>
      </c>
      <c r="AK107" s="8" t="s">
        <v>313</v>
      </c>
      <c r="AL107" s="8" t="s">
        <v>273</v>
      </c>
    </row>
    <row r="108" spans="1:39" x14ac:dyDescent="0.2">
      <c r="AC108" s="8">
        <v>3</v>
      </c>
      <c r="AD108" s="8" t="s">
        <v>345</v>
      </c>
      <c r="AE108" s="8" t="s">
        <v>347</v>
      </c>
      <c r="AF108" s="8">
        <v>12</v>
      </c>
      <c r="AG108" s="8">
        <v>1</v>
      </c>
      <c r="AH108" s="8">
        <v>1200</v>
      </c>
      <c r="AI108" s="8">
        <v>150</v>
      </c>
      <c r="AJ108" s="8" t="s">
        <v>347</v>
      </c>
      <c r="AK108" s="8">
        <v>4</v>
      </c>
      <c r="AL108" s="8">
        <v>1200</v>
      </c>
    </row>
    <row r="109" spans="1:39" x14ac:dyDescent="0.2">
      <c r="A109" s="1" t="s">
        <v>563</v>
      </c>
      <c r="B109" s="1" t="s">
        <v>558</v>
      </c>
      <c r="C109" s="1" t="s">
        <v>205</v>
      </c>
      <c r="D109" s="1" t="str">
        <f t="shared" ref="D109" si="39">"abilities/heroes/"&amp;LEFT(A109,LEN(A109)-2)&amp;"/"&amp;A109</f>
        <v>abilities/heroes/windrunner/windrunner_3</v>
      </c>
      <c r="E109" s="1" t="str">
        <f t="shared" si="21"/>
        <v>windrunner_3</v>
      </c>
      <c r="F109" s="1" t="s">
        <v>206</v>
      </c>
      <c r="G109" s="1" t="s">
        <v>459</v>
      </c>
      <c r="I109" s="1">
        <v>20</v>
      </c>
      <c r="J109" s="1">
        <v>1</v>
      </c>
      <c r="K109" s="1">
        <v>3</v>
      </c>
      <c r="L109" s="1" t="s">
        <v>306</v>
      </c>
      <c r="O109" s="1">
        <v>2</v>
      </c>
      <c r="P109" s="1">
        <v>12</v>
      </c>
      <c r="U109" s="1" t="s">
        <v>307</v>
      </c>
      <c r="W109" s="1" t="s">
        <v>571</v>
      </c>
      <c r="X109" s="1" t="s">
        <v>208</v>
      </c>
      <c r="Y109" s="1" t="s">
        <v>209</v>
      </c>
      <c r="AC109" s="8" t="s">
        <v>251</v>
      </c>
      <c r="AD109" s="8" t="s">
        <v>579</v>
      </c>
      <c r="AE109" s="8" t="s">
        <v>580</v>
      </c>
      <c r="AF109" s="8" t="s">
        <v>220</v>
      </c>
      <c r="AG109" s="8" t="s">
        <v>232</v>
      </c>
    </row>
    <row r="110" spans="1:39" x14ac:dyDescent="0.2">
      <c r="AC110" s="8" t="s">
        <v>575</v>
      </c>
      <c r="AD110" s="8" t="s">
        <v>578</v>
      </c>
      <c r="AE110" s="8" t="s">
        <v>391</v>
      </c>
      <c r="AF110" s="8">
        <v>325</v>
      </c>
      <c r="AG110" s="8">
        <v>4</v>
      </c>
    </row>
    <row r="111" spans="1:39" x14ac:dyDescent="0.2">
      <c r="A111" s="1" t="s">
        <v>564</v>
      </c>
      <c r="B111" s="1" t="s">
        <v>559</v>
      </c>
      <c r="C111" s="1" t="s">
        <v>205</v>
      </c>
      <c r="D111" s="1" t="str">
        <f t="shared" ref="D111" si="40">"abilities/heroes/"&amp;LEFT(A111,LEN(A111)-2)&amp;"/"&amp;A111</f>
        <v>abilities/heroes/windrunner/windrunner_4</v>
      </c>
      <c r="E111" s="1" t="str">
        <f t="shared" si="21"/>
        <v>windrunner_4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90</v>
      </c>
      <c r="S111" s="1">
        <v>1</v>
      </c>
      <c r="T111" s="1" t="s">
        <v>583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364</v>
      </c>
      <c r="AB111" s="8" t="s">
        <v>412</v>
      </c>
      <c r="AC111" s="8" t="s">
        <v>219</v>
      </c>
      <c r="AD111" s="8" t="s">
        <v>269</v>
      </c>
      <c r="AE111" s="8" t="s">
        <v>573</v>
      </c>
      <c r="AF111" s="8" t="s">
        <v>220</v>
      </c>
      <c r="AG111" s="8" t="s">
        <v>232</v>
      </c>
      <c r="AH111" s="8" t="s">
        <v>288</v>
      </c>
      <c r="AI111" s="8" t="s">
        <v>320</v>
      </c>
      <c r="AJ111" s="8" t="s">
        <v>212</v>
      </c>
      <c r="AK111" s="8" t="s">
        <v>581</v>
      </c>
      <c r="AL111" s="8" t="s">
        <v>233</v>
      </c>
      <c r="AM111" s="8" t="s">
        <v>582</v>
      </c>
    </row>
    <row r="112" spans="1:39" x14ac:dyDescent="0.2">
      <c r="AC112" s="8" t="s">
        <v>538</v>
      </c>
      <c r="AD112" s="8" t="s">
        <v>574</v>
      </c>
      <c r="AE112" s="8">
        <v>200</v>
      </c>
      <c r="AF112" s="8">
        <v>1200</v>
      </c>
      <c r="AG112" s="8">
        <v>4</v>
      </c>
      <c r="AH112" s="8">
        <v>0.5</v>
      </c>
      <c r="AI112" s="8">
        <v>0.03</v>
      </c>
      <c r="AJ112" s="8">
        <v>40</v>
      </c>
      <c r="AK112" s="8">
        <v>4</v>
      </c>
      <c r="AL112" s="8">
        <v>8</v>
      </c>
      <c r="AM112" s="8">
        <v>1</v>
      </c>
    </row>
    <row r="113" spans="1:38" x14ac:dyDescent="0.2">
      <c r="A113" s="1" t="s">
        <v>591</v>
      </c>
      <c r="B113" s="1" t="s">
        <v>592</v>
      </c>
      <c r="C113" s="1" t="s">
        <v>205</v>
      </c>
      <c r="D113" s="1" t="str">
        <f t="shared" ref="D113" si="41">"abilities/heroes/"&amp;LEFT(A113,LEN(A113)-2)&amp;"/"&amp;A113</f>
        <v>abilities/heroes/crystal_maiden/crystal_maiden_0</v>
      </c>
      <c r="E113" s="1" t="str">
        <f t="shared" si="21"/>
        <v>crystal_maiden_0</v>
      </c>
      <c r="F113" s="1" t="s">
        <v>206</v>
      </c>
      <c r="I113" s="1">
        <v>1</v>
      </c>
      <c r="L113" s="1" t="s">
        <v>226</v>
      </c>
      <c r="M113" s="1">
        <v>1200</v>
      </c>
      <c r="N113" s="1">
        <v>0.3</v>
      </c>
      <c r="Q113" s="1">
        <v>15</v>
      </c>
      <c r="S113" s="1">
        <v>1</v>
      </c>
      <c r="T113" s="1" t="s">
        <v>618</v>
      </c>
      <c r="U113" s="1">
        <v>50</v>
      </c>
      <c r="W113" s="1" t="s">
        <v>5</v>
      </c>
      <c r="X113" s="1" t="s">
        <v>597</v>
      </c>
      <c r="Y113" s="1" t="s">
        <v>209</v>
      </c>
      <c r="AC113" s="8" t="s">
        <v>232</v>
      </c>
      <c r="AD113" s="8" t="s">
        <v>220</v>
      </c>
      <c r="AE113" s="8" t="s">
        <v>580</v>
      </c>
      <c r="AF113" s="8" t="s">
        <v>599</v>
      </c>
      <c r="AG113" s="8" t="s">
        <v>600</v>
      </c>
      <c r="AH113" s="8" t="s">
        <v>550</v>
      </c>
      <c r="AI113" s="8" t="s">
        <v>617</v>
      </c>
    </row>
    <row r="114" spans="1:38" x14ac:dyDescent="0.2">
      <c r="AC114" s="8">
        <v>5</v>
      </c>
      <c r="AD114" s="8">
        <v>275</v>
      </c>
      <c r="AE114" s="8">
        <v>8</v>
      </c>
      <c r="AF114" s="8">
        <v>900</v>
      </c>
      <c r="AG114" s="8">
        <v>10</v>
      </c>
      <c r="AH114" s="8">
        <v>5</v>
      </c>
      <c r="AI114" s="8">
        <v>2</v>
      </c>
    </row>
    <row r="115" spans="1:38" x14ac:dyDescent="0.2">
      <c r="A115" s="1" t="s">
        <v>601</v>
      </c>
      <c r="B115" s="1" t="s">
        <v>593</v>
      </c>
      <c r="C115" s="1" t="s">
        <v>205</v>
      </c>
      <c r="D115" s="1" t="str">
        <f t="shared" ref="D115" si="42">"abilities/heroes/"&amp;LEFT(A115,LEN(A115)-2)&amp;"/"&amp;A115</f>
        <v>abilities/heroes/crystal_maiden/crystal_maiden_1</v>
      </c>
      <c r="E115" s="1" t="str">
        <f t="shared" si="21"/>
        <v>crystal_maiden_1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448</v>
      </c>
      <c r="N115" s="1">
        <v>0.3</v>
      </c>
      <c r="O115" s="1">
        <v>3</v>
      </c>
      <c r="P115" s="1">
        <v>15</v>
      </c>
      <c r="U115" s="1" t="s">
        <v>218</v>
      </c>
      <c r="W115" s="1" t="s">
        <v>88</v>
      </c>
      <c r="X115" s="1" t="s">
        <v>208</v>
      </c>
      <c r="Y115" s="1" t="s">
        <v>209</v>
      </c>
      <c r="AA115" s="8" t="s">
        <v>210</v>
      </c>
      <c r="AC115" s="8" t="s">
        <v>219</v>
      </c>
      <c r="AD115" s="8" t="s">
        <v>269</v>
      </c>
      <c r="AE115" s="8" t="s">
        <v>598</v>
      </c>
      <c r="AF115" s="8" t="s">
        <v>232</v>
      </c>
      <c r="AG115" s="8" t="s">
        <v>278</v>
      </c>
      <c r="AH115" s="8" t="s">
        <v>418</v>
      </c>
      <c r="AI115" s="8" t="s">
        <v>220</v>
      </c>
      <c r="AJ115" s="8" t="s">
        <v>608</v>
      </c>
      <c r="AK115" s="8" t="s">
        <v>609</v>
      </c>
      <c r="AL115" s="8" t="s">
        <v>613</v>
      </c>
    </row>
    <row r="116" spans="1:38" x14ac:dyDescent="0.2">
      <c r="AC116" s="8" t="s">
        <v>384</v>
      </c>
      <c r="AD116" s="8" t="s">
        <v>349</v>
      </c>
      <c r="AE116" s="8">
        <v>1.2</v>
      </c>
      <c r="AF116" s="8">
        <v>6</v>
      </c>
      <c r="AG116" s="8" t="s">
        <v>606</v>
      </c>
      <c r="AH116" s="8" t="s">
        <v>606</v>
      </c>
      <c r="AI116" s="8">
        <v>900</v>
      </c>
      <c r="AJ116" s="8">
        <v>100</v>
      </c>
      <c r="AK116" s="8">
        <v>30</v>
      </c>
      <c r="AL116" s="8">
        <v>0.3</v>
      </c>
    </row>
    <row r="117" spans="1:38" x14ac:dyDescent="0.2">
      <c r="A117" s="1" t="s">
        <v>602</v>
      </c>
      <c r="B117" s="1" t="s">
        <v>594</v>
      </c>
      <c r="C117" s="1" t="s">
        <v>205</v>
      </c>
      <c r="D117" s="1" t="str">
        <f t="shared" ref="D117" si="43">"abilities/heroes/"&amp;LEFT(A117,LEN(A117)-2)&amp;"/"&amp;A117</f>
        <v>abilities/heroes/crystal_maiden/crystal_maiden_2</v>
      </c>
      <c r="E117" s="1" t="str">
        <f t="shared" si="21"/>
        <v>crystal_maiden_2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448</v>
      </c>
      <c r="M117" s="1">
        <v>800</v>
      </c>
      <c r="N117" s="1">
        <v>0.3</v>
      </c>
      <c r="Q117" s="1">
        <v>10</v>
      </c>
      <c r="U117" s="1" t="s">
        <v>605</v>
      </c>
      <c r="W117" s="1" t="s">
        <v>308</v>
      </c>
      <c r="X117" s="1" t="s">
        <v>208</v>
      </c>
      <c r="Y117" s="1" t="s">
        <v>209</v>
      </c>
      <c r="AA117" s="8" t="s">
        <v>210</v>
      </c>
      <c r="AC117" s="8" t="s">
        <v>219</v>
      </c>
      <c r="AD117" s="8" t="s">
        <v>269</v>
      </c>
      <c r="AE117" s="8" t="s">
        <v>232</v>
      </c>
      <c r="AF117" s="8" t="s">
        <v>220</v>
      </c>
      <c r="AG117" s="8" t="s">
        <v>312</v>
      </c>
      <c r="AH117" s="8" t="s">
        <v>607</v>
      </c>
      <c r="AI117" s="8" t="s">
        <v>320</v>
      </c>
      <c r="AJ117" s="8" t="s">
        <v>288</v>
      </c>
      <c r="AK117" s="8" t="s">
        <v>610</v>
      </c>
      <c r="AL117" s="8" t="s">
        <v>608</v>
      </c>
    </row>
    <row r="118" spans="1:38" x14ac:dyDescent="0.2">
      <c r="AC118" s="8" t="s">
        <v>345</v>
      </c>
      <c r="AD118" s="8" t="s">
        <v>347</v>
      </c>
      <c r="AE118" s="8">
        <v>6</v>
      </c>
      <c r="AF118" s="8">
        <v>300</v>
      </c>
      <c r="AG118" s="8">
        <v>50</v>
      </c>
      <c r="AH118" s="8">
        <v>3</v>
      </c>
      <c r="AI118" s="8">
        <v>0.8</v>
      </c>
      <c r="AJ118" s="8">
        <v>0.4</v>
      </c>
      <c r="AK118" s="8">
        <v>0.05</v>
      </c>
      <c r="AL118" s="8">
        <v>30</v>
      </c>
    </row>
    <row r="119" spans="1:38" x14ac:dyDescent="0.2">
      <c r="A119" s="1" t="s">
        <v>603</v>
      </c>
      <c r="B119" s="1" t="s">
        <v>595</v>
      </c>
      <c r="C119" s="1" t="s">
        <v>205</v>
      </c>
      <c r="D119" s="1" t="str">
        <f t="shared" ref="D119" si="44">"abilities/heroes/"&amp;LEFT(A119,LEN(A119)-2)&amp;"/"&amp;A119</f>
        <v>abilities/heroes/crystal_maiden/crystal_maiden_3</v>
      </c>
      <c r="E119" s="1" t="str">
        <f t="shared" si="21"/>
        <v>crystal_maiden_3</v>
      </c>
      <c r="F119" s="1" t="s">
        <v>206</v>
      </c>
      <c r="I119" s="1">
        <v>20</v>
      </c>
      <c r="J119" s="1">
        <v>1</v>
      </c>
      <c r="K119" s="1">
        <v>3</v>
      </c>
      <c r="S119" s="1">
        <v>1</v>
      </c>
      <c r="T119" s="1">
        <v>4</v>
      </c>
      <c r="W119" s="1" t="s">
        <v>0</v>
      </c>
      <c r="X119" s="1" t="s">
        <v>227</v>
      </c>
      <c r="Y119" s="1" t="s">
        <v>209</v>
      </c>
      <c r="AC119" s="8" t="s">
        <v>611</v>
      </c>
      <c r="AD119" s="8" t="s">
        <v>230</v>
      </c>
      <c r="AE119" s="8" t="s">
        <v>612</v>
      </c>
      <c r="AF119" s="8" t="s">
        <v>619</v>
      </c>
      <c r="AG119" s="8" t="s">
        <v>620</v>
      </c>
    </row>
    <row r="120" spans="1:38" x14ac:dyDescent="0.2">
      <c r="AC120" s="8" t="s">
        <v>621</v>
      </c>
      <c r="AD120" s="8" t="s">
        <v>387</v>
      </c>
      <c r="AE120" s="8">
        <v>15</v>
      </c>
      <c r="AF120" s="8">
        <v>3</v>
      </c>
      <c r="AG120" s="8">
        <v>1</v>
      </c>
    </row>
    <row r="121" spans="1:38" x14ac:dyDescent="0.2">
      <c r="A121" s="1" t="s">
        <v>604</v>
      </c>
      <c r="B121" s="1" t="s">
        <v>596</v>
      </c>
      <c r="C121" s="1" t="s">
        <v>205</v>
      </c>
      <c r="D121" s="1" t="str">
        <f t="shared" ref="D121:D141" si="45">"abilities/heroes/"&amp;LEFT(A121,LEN(A121)-2)&amp;"/"&amp;A121</f>
        <v>abilities/heroes/crystal_maiden/crystal_maiden_4</v>
      </c>
      <c r="E121" s="1" t="str">
        <f t="shared" ref="E121:E151" si="46">A121</f>
        <v>crystal_maiden_4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448</v>
      </c>
      <c r="N121" s="1">
        <v>0.3</v>
      </c>
      <c r="Q121" s="1">
        <v>30</v>
      </c>
      <c r="S121" s="1">
        <v>1</v>
      </c>
      <c r="T121" s="1">
        <v>2</v>
      </c>
      <c r="U121" s="1" t="s">
        <v>502</v>
      </c>
      <c r="W121" s="1" t="s">
        <v>88</v>
      </c>
      <c r="X121" s="1" t="s">
        <v>208</v>
      </c>
      <c r="Y121" s="1" t="s">
        <v>209</v>
      </c>
      <c r="AA121" s="8" t="s">
        <v>210</v>
      </c>
      <c r="AC121" s="8" t="s">
        <v>219</v>
      </c>
      <c r="AD121" s="8" t="s">
        <v>269</v>
      </c>
      <c r="AE121" s="8" t="s">
        <v>220</v>
      </c>
      <c r="AF121" s="8" t="s">
        <v>232</v>
      </c>
      <c r="AG121" s="8" t="s">
        <v>326</v>
      </c>
      <c r="AH121" s="8" t="s">
        <v>403</v>
      </c>
      <c r="AI121" s="8" t="s">
        <v>614</v>
      </c>
      <c r="AJ121" s="8" t="s">
        <v>616</v>
      </c>
    </row>
    <row r="122" spans="1:38" x14ac:dyDescent="0.2">
      <c r="AC122" s="8" t="s">
        <v>342</v>
      </c>
      <c r="AD122" s="8" t="s">
        <v>350</v>
      </c>
      <c r="AE122" s="8">
        <v>900</v>
      </c>
      <c r="AF122" s="8">
        <v>8</v>
      </c>
      <c r="AG122" s="8">
        <v>4</v>
      </c>
      <c r="AH122" s="8" t="s">
        <v>615</v>
      </c>
      <c r="AI122" s="8">
        <v>150</v>
      </c>
      <c r="AJ122" s="8">
        <v>1</v>
      </c>
    </row>
    <row r="123" spans="1:38" x14ac:dyDescent="0.2">
      <c r="A123" s="1" t="s">
        <v>622</v>
      </c>
      <c r="B123" s="1" t="s">
        <v>623</v>
      </c>
      <c r="C123" s="1" t="s">
        <v>205</v>
      </c>
      <c r="D123" s="1" t="str">
        <f t="shared" si="45"/>
        <v>abilities/heroes/oracle/oracle_0</v>
      </c>
      <c r="E123" s="1" t="str">
        <f t="shared" si="46"/>
        <v>oracle_0</v>
      </c>
      <c r="F123" s="1" t="s">
        <v>206</v>
      </c>
      <c r="I123" s="1">
        <v>1</v>
      </c>
      <c r="L123" s="1" t="s">
        <v>306</v>
      </c>
      <c r="M123" s="1">
        <v>1200</v>
      </c>
      <c r="N123" s="1">
        <v>0.15</v>
      </c>
      <c r="Q123" s="1">
        <v>30</v>
      </c>
      <c r="R123" s="1">
        <v>1</v>
      </c>
      <c r="S123" s="1">
        <v>1</v>
      </c>
      <c r="T123" s="1">
        <v>1</v>
      </c>
      <c r="U123" s="1">
        <v>50</v>
      </c>
      <c r="W123" s="1" t="s">
        <v>649</v>
      </c>
      <c r="X123" s="1" t="s">
        <v>597</v>
      </c>
      <c r="Y123" s="1" t="s">
        <v>209</v>
      </c>
      <c r="Z123" s="1" t="s">
        <v>524</v>
      </c>
      <c r="AB123" s="8" t="s">
        <v>412</v>
      </c>
      <c r="AC123" s="8" t="s">
        <v>630</v>
      </c>
      <c r="AD123" s="8" t="s">
        <v>631</v>
      </c>
      <c r="AE123" s="8" t="s">
        <v>628</v>
      </c>
      <c r="AF123" s="8" t="s">
        <v>629</v>
      </c>
      <c r="AG123" s="8" t="s">
        <v>232</v>
      </c>
    </row>
    <row r="124" spans="1:38" x14ac:dyDescent="0.2">
      <c r="AC124" s="8">
        <v>5</v>
      </c>
      <c r="AD124" s="8">
        <v>30</v>
      </c>
      <c r="AE124" s="8">
        <v>50</v>
      </c>
      <c r="AF124" s="8">
        <v>1</v>
      </c>
      <c r="AG124" s="8">
        <v>15</v>
      </c>
    </row>
    <row r="125" spans="1:38" x14ac:dyDescent="0.2">
      <c r="A125" s="1" t="s">
        <v>642</v>
      </c>
      <c r="B125" s="1" t="s">
        <v>624</v>
      </c>
      <c r="C125" s="1" t="s">
        <v>205</v>
      </c>
      <c r="D125" s="1" t="str">
        <f t="shared" si="45"/>
        <v>abilities/heroes/oracle/oracle_1</v>
      </c>
      <c r="E125" s="1" t="str">
        <f t="shared" si="46"/>
        <v>oracle_1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306</v>
      </c>
      <c r="M125" s="1">
        <v>1200</v>
      </c>
      <c r="N125" s="1">
        <v>0.15</v>
      </c>
      <c r="Q125" s="1">
        <v>2.25</v>
      </c>
      <c r="S125" s="1">
        <v>1</v>
      </c>
      <c r="T125" s="1">
        <v>4</v>
      </c>
      <c r="U125" s="1" t="s">
        <v>307</v>
      </c>
      <c r="W125" s="1" t="s">
        <v>308</v>
      </c>
      <c r="X125" s="1" t="s">
        <v>208</v>
      </c>
      <c r="Y125" s="1" t="s">
        <v>209</v>
      </c>
      <c r="Z125" s="1" t="s">
        <v>647</v>
      </c>
      <c r="AA125" s="8" t="s">
        <v>210</v>
      </c>
      <c r="AC125" s="8" t="s">
        <v>219</v>
      </c>
      <c r="AD125" s="8" t="s">
        <v>269</v>
      </c>
      <c r="AE125" s="8" t="s">
        <v>632</v>
      </c>
      <c r="AF125" s="8" t="s">
        <v>320</v>
      </c>
      <c r="AG125" s="8" t="s">
        <v>220</v>
      </c>
      <c r="AH125" s="8" t="s">
        <v>232</v>
      </c>
      <c r="AI125" s="8" t="s">
        <v>633</v>
      </c>
      <c r="AJ125" s="8" t="s">
        <v>233</v>
      </c>
    </row>
    <row r="126" spans="1:38" x14ac:dyDescent="0.2">
      <c r="AC126" s="8" t="s">
        <v>417</v>
      </c>
      <c r="AD126" s="8" t="s">
        <v>347</v>
      </c>
      <c r="AE126" s="8" t="s">
        <v>352</v>
      </c>
      <c r="AF126" s="8">
        <v>0.25</v>
      </c>
      <c r="AG126" s="8">
        <v>300</v>
      </c>
      <c r="AH126" s="8">
        <v>9</v>
      </c>
      <c r="AI126" s="8">
        <v>30</v>
      </c>
      <c r="AJ126" s="8">
        <v>1</v>
      </c>
    </row>
    <row r="127" spans="1:38" x14ac:dyDescent="0.2">
      <c r="A127" s="1" t="s">
        <v>643</v>
      </c>
      <c r="B127" s="1" t="s">
        <v>625</v>
      </c>
      <c r="C127" s="1" t="s">
        <v>205</v>
      </c>
      <c r="D127" s="1" t="str">
        <f t="shared" si="45"/>
        <v>abilities/heroes/oracle/oracle_2</v>
      </c>
      <c r="E127" s="1" t="str">
        <f>A127</f>
        <v>oracle_2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226</v>
      </c>
      <c r="N127" s="1">
        <v>0.3</v>
      </c>
      <c r="Q127" s="1">
        <v>16</v>
      </c>
      <c r="R127" s="1">
        <v>1</v>
      </c>
      <c r="S127" s="1">
        <v>1</v>
      </c>
      <c r="T127" s="1">
        <v>2</v>
      </c>
      <c r="U127" s="1" t="s">
        <v>218</v>
      </c>
      <c r="W127" s="1" t="s">
        <v>88</v>
      </c>
      <c r="X127" s="1" t="s">
        <v>208</v>
      </c>
      <c r="Y127" s="1" t="s">
        <v>209</v>
      </c>
      <c r="AC127" s="8" t="s">
        <v>627</v>
      </c>
      <c r="AD127" s="8" t="s">
        <v>634</v>
      </c>
      <c r="AE127" s="8" t="s">
        <v>635</v>
      </c>
      <c r="AF127" s="8" t="s">
        <v>553</v>
      </c>
      <c r="AG127" s="8" t="s">
        <v>232</v>
      </c>
      <c r="AH127" s="8" t="s">
        <v>650</v>
      </c>
    </row>
    <row r="128" spans="1:38" x14ac:dyDescent="0.2">
      <c r="AC128" s="8" t="s">
        <v>348</v>
      </c>
      <c r="AD128" s="8" t="s">
        <v>354</v>
      </c>
      <c r="AE128" s="8" t="s">
        <v>423</v>
      </c>
      <c r="AF128" s="8" t="s">
        <v>636</v>
      </c>
      <c r="AG128" s="8">
        <v>9</v>
      </c>
      <c r="AH128" s="8">
        <v>15</v>
      </c>
    </row>
    <row r="129" spans="1:37" x14ac:dyDescent="0.2">
      <c r="A129" s="1" t="s">
        <v>644</v>
      </c>
      <c r="B129" s="1" t="s">
        <v>646</v>
      </c>
      <c r="C129" s="1" t="s">
        <v>205</v>
      </c>
      <c r="D129" s="1" t="str">
        <f t="shared" si="45"/>
        <v>abilities/heroes/oracle/oracle_3</v>
      </c>
      <c r="E129" s="1" t="str">
        <f>A129</f>
        <v>oracle_3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M129" s="1">
        <v>1200</v>
      </c>
      <c r="N129" s="1">
        <v>0.3</v>
      </c>
      <c r="Q129" s="1">
        <v>28</v>
      </c>
      <c r="S129" s="1">
        <v>1</v>
      </c>
      <c r="T129" s="1">
        <v>3</v>
      </c>
      <c r="U129" s="1" t="s">
        <v>218</v>
      </c>
      <c r="W129" s="1" t="s">
        <v>5</v>
      </c>
      <c r="X129" s="1" t="s">
        <v>227</v>
      </c>
      <c r="Y129" s="1" t="s">
        <v>209</v>
      </c>
      <c r="AA129" s="8" t="s">
        <v>210</v>
      </c>
      <c r="AC129" s="8" t="s">
        <v>219</v>
      </c>
      <c r="AD129" s="8" t="s">
        <v>269</v>
      </c>
      <c r="AE129" s="8" t="s">
        <v>278</v>
      </c>
      <c r="AF129" s="8" t="s">
        <v>637</v>
      </c>
      <c r="AG129" s="8" t="s">
        <v>639</v>
      </c>
      <c r="AH129" s="8" t="s">
        <v>232</v>
      </c>
      <c r="AI129" s="8" t="s">
        <v>651</v>
      </c>
      <c r="AJ129" s="8" t="s">
        <v>652</v>
      </c>
    </row>
    <row r="130" spans="1:37" x14ac:dyDescent="0.2">
      <c r="AC130" s="8" t="s">
        <v>343</v>
      </c>
      <c r="AD130" s="8" t="s">
        <v>349</v>
      </c>
      <c r="AE130" s="8">
        <v>200</v>
      </c>
      <c r="AF130" s="8" t="s">
        <v>638</v>
      </c>
      <c r="AG130" s="8">
        <v>1</v>
      </c>
      <c r="AH130" s="8">
        <v>14</v>
      </c>
      <c r="AI130" s="8">
        <v>300</v>
      </c>
      <c r="AJ130" s="8">
        <v>1</v>
      </c>
    </row>
    <row r="131" spans="1:37" x14ac:dyDescent="0.2">
      <c r="A131" s="1" t="s">
        <v>645</v>
      </c>
      <c r="B131" s="1" t="s">
        <v>626</v>
      </c>
      <c r="C131" s="1" t="s">
        <v>205</v>
      </c>
      <c r="D131" s="1" t="str">
        <f t="shared" si="45"/>
        <v>abilities/heroes/oracle/oracle_4</v>
      </c>
      <c r="E131" s="1" t="str">
        <f t="shared" si="46"/>
        <v>oracle_4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410</v>
      </c>
      <c r="M131" s="1">
        <v>800</v>
      </c>
      <c r="N131" s="1">
        <v>0.3</v>
      </c>
      <c r="Q131" s="1">
        <v>60</v>
      </c>
      <c r="U131" s="1" t="s">
        <v>502</v>
      </c>
      <c r="W131" s="1" t="s">
        <v>308</v>
      </c>
      <c r="X131" s="1" t="s">
        <v>208</v>
      </c>
      <c r="Y131" s="1" t="s">
        <v>209</v>
      </c>
      <c r="Z131" s="1" t="s">
        <v>524</v>
      </c>
      <c r="AA131" s="8" t="s">
        <v>210</v>
      </c>
      <c r="AB131" s="8" t="s">
        <v>412</v>
      </c>
      <c r="AC131" s="8" t="s">
        <v>219</v>
      </c>
      <c r="AD131" s="8" t="s">
        <v>269</v>
      </c>
      <c r="AE131" s="8" t="s">
        <v>220</v>
      </c>
      <c r="AF131" s="8" t="s">
        <v>523</v>
      </c>
      <c r="AG131" s="8" t="s">
        <v>211</v>
      </c>
      <c r="AH131" s="8" t="s">
        <v>641</v>
      </c>
      <c r="AI131" s="8" t="s">
        <v>628</v>
      </c>
    </row>
    <row r="132" spans="1:37" x14ac:dyDescent="0.2">
      <c r="AC132" s="8" t="s">
        <v>342</v>
      </c>
      <c r="AD132" s="8" t="s">
        <v>640</v>
      </c>
      <c r="AE132" s="8">
        <v>600</v>
      </c>
      <c r="AF132" s="8">
        <v>0.5</v>
      </c>
      <c r="AG132" s="8">
        <v>2</v>
      </c>
      <c r="AH132" s="8">
        <v>6</v>
      </c>
      <c r="AI132" s="8">
        <v>200</v>
      </c>
    </row>
    <row r="133" spans="1:37" x14ac:dyDescent="0.2">
      <c r="A133" s="1" t="s">
        <v>654</v>
      </c>
      <c r="B133" s="1" t="s">
        <v>659</v>
      </c>
      <c r="C133" s="1" t="s">
        <v>205</v>
      </c>
      <c r="D133" s="1" t="str">
        <f t="shared" si="45"/>
        <v>abilities/heroes/void_spirit/void_spirit_0</v>
      </c>
      <c r="E133" s="1" t="str">
        <f t="shared" si="46"/>
        <v>void_spirit_0</v>
      </c>
      <c r="F133" s="1" t="s">
        <v>206</v>
      </c>
      <c r="I133" s="1">
        <v>1</v>
      </c>
      <c r="L133" s="1" t="s">
        <v>448</v>
      </c>
      <c r="M133" s="1">
        <v>1200</v>
      </c>
      <c r="Q133" s="1">
        <v>5</v>
      </c>
      <c r="S133" s="1">
        <v>1</v>
      </c>
      <c r="T133" s="1">
        <v>2</v>
      </c>
      <c r="W133" s="1" t="s">
        <v>676</v>
      </c>
      <c r="X133" s="1" t="s">
        <v>208</v>
      </c>
      <c r="Y133" s="1" t="s">
        <v>209</v>
      </c>
      <c r="Z133" s="1" t="s">
        <v>524</v>
      </c>
      <c r="AA133" s="8" t="s">
        <v>210</v>
      </c>
      <c r="AC133" s="8" t="s">
        <v>232</v>
      </c>
      <c r="AD133" s="8" t="s">
        <v>454</v>
      </c>
    </row>
    <row r="134" spans="1:37" x14ac:dyDescent="0.2">
      <c r="AC134" s="8">
        <v>10</v>
      </c>
      <c r="AD134" s="8">
        <v>2</v>
      </c>
    </row>
    <row r="135" spans="1:37" x14ac:dyDescent="0.2">
      <c r="A135" s="1" t="s">
        <v>655</v>
      </c>
      <c r="B135" s="1" t="s">
        <v>660</v>
      </c>
      <c r="C135" s="1" t="s">
        <v>205</v>
      </c>
      <c r="D135" s="1" t="str">
        <f t="shared" si="45"/>
        <v>abilities/heroes/void_spirit/void_spirit_1</v>
      </c>
      <c r="E135" s="1" t="str">
        <f t="shared" si="46"/>
        <v>void_spirit_1</v>
      </c>
      <c r="F135" s="1" t="s">
        <v>206</v>
      </c>
      <c r="I135" s="1">
        <v>20</v>
      </c>
      <c r="J135" s="1">
        <v>1</v>
      </c>
      <c r="K135" s="1">
        <v>3</v>
      </c>
      <c r="L135" s="1" t="s">
        <v>410</v>
      </c>
      <c r="N135" s="1">
        <v>0</v>
      </c>
      <c r="Q135" s="1">
        <v>10</v>
      </c>
      <c r="S135" s="1">
        <v>1</v>
      </c>
      <c r="T135" s="1" t="s">
        <v>618</v>
      </c>
      <c r="U135" s="1" t="s">
        <v>307</v>
      </c>
      <c r="W135" s="1" t="s">
        <v>479</v>
      </c>
      <c r="X135" s="1" t="s">
        <v>208</v>
      </c>
      <c r="Y135" s="1" t="s">
        <v>209</v>
      </c>
      <c r="Z135" s="1" t="s">
        <v>524</v>
      </c>
      <c r="AA135" s="8" t="s">
        <v>210</v>
      </c>
      <c r="AC135" s="8" t="s">
        <v>219</v>
      </c>
      <c r="AD135" s="8" t="s">
        <v>269</v>
      </c>
      <c r="AE135" s="8" t="s">
        <v>664</v>
      </c>
      <c r="AF135" s="8" t="s">
        <v>633</v>
      </c>
      <c r="AG135" s="8" t="s">
        <v>665</v>
      </c>
      <c r="AH135" s="8" t="s">
        <v>220</v>
      </c>
      <c r="AI135" s="8" t="s">
        <v>232</v>
      </c>
      <c r="AJ135" s="8" t="s">
        <v>287</v>
      </c>
      <c r="AK135" s="8" t="s">
        <v>332</v>
      </c>
    </row>
    <row r="136" spans="1:37" x14ac:dyDescent="0.2">
      <c r="AC136" s="8" t="s">
        <v>384</v>
      </c>
      <c r="AD136" s="8" t="s">
        <v>347</v>
      </c>
      <c r="AE136" s="8" t="s">
        <v>680</v>
      </c>
      <c r="AF136" s="8">
        <v>20</v>
      </c>
      <c r="AG136" s="8">
        <v>40</v>
      </c>
      <c r="AH136" s="8">
        <v>500</v>
      </c>
      <c r="AI136" s="8">
        <v>10</v>
      </c>
      <c r="AJ136" s="8">
        <v>0.3</v>
      </c>
      <c r="AK136" s="8">
        <v>6</v>
      </c>
    </row>
    <row r="137" spans="1:37" x14ac:dyDescent="0.2">
      <c r="A137" s="1" t="s">
        <v>656</v>
      </c>
      <c r="B137" s="1" t="s">
        <v>661</v>
      </c>
      <c r="C137" s="1" t="s">
        <v>205</v>
      </c>
      <c r="D137" s="1" t="str">
        <f t="shared" si="45"/>
        <v>abilities/heroes/void_spirit/void_spirit_2</v>
      </c>
      <c r="E137" s="1" t="str">
        <f t="shared" si="46"/>
        <v>void_spirit_2</v>
      </c>
      <c r="F137" s="1" t="s">
        <v>206</v>
      </c>
      <c r="I137" s="1">
        <v>20</v>
      </c>
      <c r="J137" s="1">
        <v>1</v>
      </c>
      <c r="K137" s="1">
        <v>3</v>
      </c>
      <c r="L137" s="1" t="s">
        <v>306</v>
      </c>
      <c r="M137" s="1">
        <v>1600</v>
      </c>
      <c r="N137" s="1">
        <v>0.2</v>
      </c>
      <c r="O137" s="1">
        <v>2</v>
      </c>
      <c r="P137" s="1">
        <v>12</v>
      </c>
      <c r="U137" s="1" t="s">
        <v>307</v>
      </c>
      <c r="W137" s="1" t="s">
        <v>308</v>
      </c>
      <c r="X137" s="1" t="s">
        <v>208</v>
      </c>
      <c r="Y137" s="1" t="s">
        <v>209</v>
      </c>
      <c r="Z137" s="1" t="s">
        <v>524</v>
      </c>
      <c r="AA137" s="8" t="s">
        <v>210</v>
      </c>
      <c r="AC137" s="8" t="s">
        <v>219</v>
      </c>
      <c r="AD137" s="8" t="s">
        <v>269</v>
      </c>
      <c r="AE137" s="8" t="s">
        <v>220</v>
      </c>
      <c r="AF137" s="8" t="s">
        <v>666</v>
      </c>
      <c r="AG137" s="8" t="s">
        <v>211</v>
      </c>
    </row>
    <row r="138" spans="1:37" x14ac:dyDescent="0.2">
      <c r="AC138" s="8" t="s">
        <v>384</v>
      </c>
      <c r="AD138" s="8" t="s">
        <v>347</v>
      </c>
      <c r="AE138" s="8">
        <v>275</v>
      </c>
      <c r="AF138" s="8">
        <v>1.3</v>
      </c>
      <c r="AG138" s="8">
        <v>2</v>
      </c>
    </row>
    <row r="139" spans="1:37" x14ac:dyDescent="0.2">
      <c r="A139" s="1" t="s">
        <v>657</v>
      </c>
      <c r="B139" s="1" t="s">
        <v>663</v>
      </c>
      <c r="C139" s="1" t="s">
        <v>205</v>
      </c>
      <c r="D139" s="1" t="str">
        <f t="shared" si="45"/>
        <v>abilities/heroes/void_spirit/void_spirit_3</v>
      </c>
      <c r="E139" s="1" t="str">
        <f t="shared" si="46"/>
        <v>void_spirit_3</v>
      </c>
      <c r="F139" s="1" t="s">
        <v>206</v>
      </c>
      <c r="I139" s="1">
        <v>20</v>
      </c>
      <c r="J139" s="1">
        <v>1</v>
      </c>
      <c r="K139" s="1">
        <v>3</v>
      </c>
      <c r="L139" s="1" t="s">
        <v>226</v>
      </c>
      <c r="N139" s="1">
        <v>0.2</v>
      </c>
      <c r="O139" s="1">
        <v>2</v>
      </c>
      <c r="P139" s="1">
        <v>8</v>
      </c>
      <c r="S139" s="1">
        <v>1</v>
      </c>
      <c r="T139" s="1">
        <v>4</v>
      </c>
      <c r="U139" s="1" t="s">
        <v>682</v>
      </c>
      <c r="W139" s="1" t="s">
        <v>675</v>
      </c>
      <c r="X139" s="1" t="s">
        <v>208</v>
      </c>
      <c r="Y139" s="1" t="s">
        <v>209</v>
      </c>
      <c r="Z139" s="1" t="s">
        <v>524</v>
      </c>
      <c r="AA139" s="8" t="s">
        <v>210</v>
      </c>
      <c r="AC139" s="8" t="s">
        <v>220</v>
      </c>
      <c r="AD139" s="8" t="s">
        <v>671</v>
      </c>
      <c r="AE139" s="8" t="s">
        <v>672</v>
      </c>
      <c r="AF139" s="8" t="s">
        <v>673</v>
      </c>
      <c r="AG139" s="8" t="s">
        <v>674</v>
      </c>
      <c r="AH139" s="8" t="s">
        <v>677</v>
      </c>
      <c r="AI139" s="8" t="s">
        <v>628</v>
      </c>
      <c r="AJ139" s="8" t="s">
        <v>269</v>
      </c>
      <c r="AK139" s="8" t="s">
        <v>403</v>
      </c>
    </row>
    <row r="140" spans="1:37" x14ac:dyDescent="0.2">
      <c r="AC140" s="8">
        <v>175</v>
      </c>
      <c r="AD140" s="8">
        <v>200</v>
      </c>
      <c r="AE140" s="8">
        <v>1600</v>
      </c>
      <c r="AF140" s="8">
        <v>1.25</v>
      </c>
      <c r="AG140" s="8">
        <v>80</v>
      </c>
      <c r="AH140" s="8">
        <v>300</v>
      </c>
      <c r="AI140" s="8" t="s">
        <v>678</v>
      </c>
      <c r="AJ140" s="8" t="s">
        <v>347</v>
      </c>
      <c r="AK140" s="8">
        <v>10</v>
      </c>
    </row>
    <row r="141" spans="1:37" x14ac:dyDescent="0.2">
      <c r="A141" s="1" t="s">
        <v>658</v>
      </c>
      <c r="B141" s="1" t="s">
        <v>662</v>
      </c>
      <c r="C141" s="1" t="s">
        <v>205</v>
      </c>
      <c r="D141" s="1" t="str">
        <f t="shared" si="45"/>
        <v>abilities/heroes/void_spirit/void_spirit_4</v>
      </c>
      <c r="E141" s="1" t="str">
        <f>A141</f>
        <v>void_spirit_4</v>
      </c>
      <c r="F141" s="1" t="s">
        <v>245</v>
      </c>
      <c r="I141" s="1">
        <v>8</v>
      </c>
      <c r="J141" s="1">
        <v>8</v>
      </c>
      <c r="K141" s="1">
        <v>24</v>
      </c>
      <c r="L141" s="1" t="s">
        <v>306</v>
      </c>
      <c r="N141" s="1">
        <v>0.2</v>
      </c>
      <c r="Q141" s="1">
        <v>40</v>
      </c>
      <c r="U141" s="1" t="s">
        <v>502</v>
      </c>
      <c r="W141" s="1" t="s">
        <v>88</v>
      </c>
      <c r="X141" s="1" t="s">
        <v>208</v>
      </c>
      <c r="Y141" s="1" t="s">
        <v>209</v>
      </c>
      <c r="Z141" s="1" t="s">
        <v>524</v>
      </c>
      <c r="AA141" s="8" t="s">
        <v>210</v>
      </c>
      <c r="AC141" s="8" t="s">
        <v>219</v>
      </c>
      <c r="AD141" s="8" t="s">
        <v>269</v>
      </c>
      <c r="AE141" s="8" t="s">
        <v>220</v>
      </c>
      <c r="AF141" s="8" t="s">
        <v>666</v>
      </c>
      <c r="AG141" s="8" t="s">
        <v>668</v>
      </c>
      <c r="AH141" s="8" t="s">
        <v>667</v>
      </c>
      <c r="AI141" s="8" t="s">
        <v>669</v>
      </c>
      <c r="AJ141" s="8" t="s">
        <v>670</v>
      </c>
      <c r="AK141" s="8" t="s">
        <v>211</v>
      </c>
    </row>
    <row r="142" spans="1:37" x14ac:dyDescent="0.2">
      <c r="AC142" s="8" t="s">
        <v>346</v>
      </c>
      <c r="AD142" s="8" t="s">
        <v>538</v>
      </c>
      <c r="AE142" s="8">
        <v>275</v>
      </c>
      <c r="AF142" s="8">
        <v>1.3</v>
      </c>
      <c r="AG142" s="8">
        <v>6</v>
      </c>
      <c r="AH142" s="8">
        <v>183</v>
      </c>
      <c r="AI142" s="8">
        <v>60</v>
      </c>
      <c r="AJ142" s="8">
        <v>520</v>
      </c>
      <c r="AK142" s="8">
        <v>6</v>
      </c>
    </row>
    <row r="143" spans="1:37" x14ac:dyDescent="0.2">
      <c r="A143" s="1" t="s">
        <v>707</v>
      </c>
      <c r="B143" s="1" t="s">
        <v>702</v>
      </c>
      <c r="C143" s="1" t="s">
        <v>205</v>
      </c>
      <c r="D143" s="1" t="str">
        <f t="shared" ref="D143" si="47">"abilities/heroes/"&amp;LEFT(A143,LEN(A143)-2)&amp;"/"&amp;A143</f>
        <v>abilities/heroes/monkey_king/monkey_king_0</v>
      </c>
      <c r="E143" s="1" t="str">
        <f t="shared" si="46"/>
        <v>monkey_king_0</v>
      </c>
      <c r="F143" s="1" t="s">
        <v>206</v>
      </c>
      <c r="I143" s="1">
        <v>1</v>
      </c>
      <c r="S143" s="1">
        <v>1</v>
      </c>
      <c r="T143" s="1">
        <v>3</v>
      </c>
      <c r="W143" s="1" t="s">
        <v>0</v>
      </c>
      <c r="X143" s="1" t="s">
        <v>208</v>
      </c>
      <c r="Y143" s="1" t="s">
        <v>209</v>
      </c>
      <c r="AA143" s="8" t="s">
        <v>324</v>
      </c>
      <c r="AC143" s="8" t="s">
        <v>684</v>
      </c>
      <c r="AD143" s="8" t="s">
        <v>689</v>
      </c>
      <c r="AE143" s="8" t="s">
        <v>293</v>
      </c>
      <c r="AF143" s="8" t="s">
        <v>714</v>
      </c>
    </row>
    <row r="144" spans="1:37" x14ac:dyDescent="0.2">
      <c r="AC144" s="8">
        <v>0.5</v>
      </c>
      <c r="AD144" s="8">
        <v>2</v>
      </c>
      <c r="AE144" s="8">
        <v>15</v>
      </c>
      <c r="AF144" s="8">
        <v>50</v>
      </c>
    </row>
    <row r="145" spans="1:39" x14ac:dyDescent="0.2">
      <c r="A145" s="1" t="s">
        <v>715</v>
      </c>
      <c r="B145" s="1" t="s">
        <v>705</v>
      </c>
      <c r="C145" s="1" t="s">
        <v>205</v>
      </c>
      <c r="D145" s="1" t="str">
        <f t="shared" ref="D145" si="48">"abilities/heroes/"&amp;LEFT(A145,LEN(A145)-2)&amp;"/"&amp;A145</f>
        <v>abilities/heroes/monkey_king/monkey_king_1</v>
      </c>
      <c r="E145" s="1" t="str">
        <f t="shared" si="46"/>
        <v>monkey_king_1</v>
      </c>
      <c r="F145" s="1" t="s">
        <v>206</v>
      </c>
      <c r="I145" s="1">
        <v>20</v>
      </c>
      <c r="J145" s="1">
        <v>1</v>
      </c>
      <c r="K145" s="1">
        <v>3</v>
      </c>
      <c r="L145" s="1" t="s">
        <v>681</v>
      </c>
      <c r="Q145" s="1">
        <v>10</v>
      </c>
      <c r="U145" s="1" t="s">
        <v>372</v>
      </c>
      <c r="W145" s="1" t="s">
        <v>89</v>
      </c>
      <c r="X145" s="1" t="s">
        <v>208</v>
      </c>
      <c r="Y145" s="1" t="s">
        <v>209</v>
      </c>
      <c r="AA145" s="8" t="s">
        <v>364</v>
      </c>
      <c r="AC145" s="8" t="s">
        <v>219</v>
      </c>
      <c r="AD145" s="8" t="s">
        <v>269</v>
      </c>
      <c r="AE145" s="8" t="s">
        <v>693</v>
      </c>
      <c r="AF145" s="8" t="s">
        <v>220</v>
      </c>
      <c r="AG145" s="8" t="s">
        <v>695</v>
      </c>
      <c r="AH145" s="8" t="s">
        <v>272</v>
      </c>
      <c r="AI145" s="8" t="s">
        <v>232</v>
      </c>
    </row>
    <row r="146" spans="1:39" x14ac:dyDescent="0.2">
      <c r="AC146" s="8" t="s">
        <v>345</v>
      </c>
      <c r="AD146" s="8" t="s">
        <v>354</v>
      </c>
      <c r="AE146" s="8" t="s">
        <v>347</v>
      </c>
      <c r="AF146" s="8">
        <v>350</v>
      </c>
      <c r="AG146" s="8">
        <v>60</v>
      </c>
      <c r="AH146" s="8">
        <v>1200</v>
      </c>
      <c r="AI146" s="8">
        <v>4</v>
      </c>
    </row>
    <row r="147" spans="1:39" x14ac:dyDescent="0.2">
      <c r="A147" s="1" t="s">
        <v>716</v>
      </c>
      <c r="B147" s="1" t="s">
        <v>706</v>
      </c>
      <c r="C147" s="1" t="s">
        <v>205</v>
      </c>
      <c r="D147" s="1" t="str">
        <f t="shared" ref="D147" si="49">"abilities/heroes/"&amp;LEFT(A147,LEN(A147)-2)&amp;"/"&amp;A147</f>
        <v>abilities/heroes/monkey_king/monkey_king_2</v>
      </c>
      <c r="E147" s="1" t="str">
        <f t="shared" si="46"/>
        <v>monkey_king_2</v>
      </c>
      <c r="F147" s="1" t="s">
        <v>206</v>
      </c>
      <c r="I147" s="1">
        <v>20</v>
      </c>
      <c r="J147" s="1">
        <v>1</v>
      </c>
      <c r="K147" s="1">
        <v>3</v>
      </c>
      <c r="Q147" s="1">
        <v>16</v>
      </c>
      <c r="U147" s="1" t="s">
        <v>372</v>
      </c>
      <c r="W147" s="1" t="s">
        <v>88</v>
      </c>
      <c r="X147" s="1" t="s">
        <v>208</v>
      </c>
      <c r="Y147" s="1" t="s">
        <v>209</v>
      </c>
      <c r="AA147" s="8" t="s">
        <v>210</v>
      </c>
      <c r="AC147" s="8" t="s">
        <v>685</v>
      </c>
      <c r="AD147" s="8" t="s">
        <v>690</v>
      </c>
      <c r="AE147" s="8" t="s">
        <v>232</v>
      </c>
      <c r="AF147" s="8" t="s">
        <v>549</v>
      </c>
      <c r="AG147" s="8" t="s">
        <v>220</v>
      </c>
      <c r="AH147" s="8" t="s">
        <v>611</v>
      </c>
      <c r="AI147" s="8" t="s">
        <v>278</v>
      </c>
    </row>
    <row r="148" spans="1:39" x14ac:dyDescent="0.2">
      <c r="AC148" s="8" t="s">
        <v>686</v>
      </c>
      <c r="AD148" s="8" t="s">
        <v>691</v>
      </c>
      <c r="AE148" s="8">
        <v>2</v>
      </c>
      <c r="AF148" s="8">
        <v>10</v>
      </c>
      <c r="AG148" s="8">
        <v>600</v>
      </c>
      <c r="AH148" s="8">
        <v>80</v>
      </c>
      <c r="AI148" s="8">
        <v>120</v>
      </c>
    </row>
    <row r="149" spans="1:39" x14ac:dyDescent="0.2">
      <c r="A149" s="1" t="s">
        <v>717</v>
      </c>
      <c r="B149" s="1" t="s">
        <v>703</v>
      </c>
      <c r="C149" s="1" t="s">
        <v>205</v>
      </c>
      <c r="D149" s="1" t="str">
        <f t="shared" ref="D149" si="50">"abilities/heroes/"&amp;LEFT(A149,LEN(A149)-2)&amp;"/"&amp;A149</f>
        <v>abilities/heroes/monkey_king/monkey_king_3</v>
      </c>
      <c r="E149" s="1" t="str">
        <f t="shared" si="46"/>
        <v>monkey_king_3</v>
      </c>
      <c r="F149" s="1" t="s">
        <v>206</v>
      </c>
      <c r="I149" s="1">
        <v>20</v>
      </c>
      <c r="J149" s="1">
        <v>1</v>
      </c>
      <c r="K149" s="1">
        <v>3</v>
      </c>
      <c r="L149" s="1" t="s">
        <v>226</v>
      </c>
      <c r="Q149" s="1">
        <v>20</v>
      </c>
      <c r="S149" s="1">
        <v>1</v>
      </c>
      <c r="T149" s="1" t="s">
        <v>739</v>
      </c>
      <c r="U149" s="1" t="s">
        <v>683</v>
      </c>
      <c r="W149" s="1" t="s">
        <v>88</v>
      </c>
      <c r="X149" s="1" t="s">
        <v>208</v>
      </c>
      <c r="Y149" s="1" t="s">
        <v>209</v>
      </c>
      <c r="AA149" s="8" t="s">
        <v>210</v>
      </c>
      <c r="AC149" s="8" t="s">
        <v>709</v>
      </c>
      <c r="AD149" s="8" t="s">
        <v>699</v>
      </c>
      <c r="AE149" s="8" t="s">
        <v>232</v>
      </c>
      <c r="AF149" s="8" t="s">
        <v>708</v>
      </c>
      <c r="AG149" s="8" t="s">
        <v>550</v>
      </c>
      <c r="AH149" s="8" t="s">
        <v>233</v>
      </c>
      <c r="AI149" s="8" t="s">
        <v>582</v>
      </c>
      <c r="AJ149" s="8" t="s">
        <v>712</v>
      </c>
      <c r="AK149" s="8" t="s">
        <v>713</v>
      </c>
    </row>
    <row r="150" spans="1:39" x14ac:dyDescent="0.2">
      <c r="AC150" s="8">
        <v>300</v>
      </c>
      <c r="AD150" s="8" t="s">
        <v>700</v>
      </c>
      <c r="AE150" s="8" t="s">
        <v>701</v>
      </c>
      <c r="AF150" s="8">
        <v>2</v>
      </c>
      <c r="AG150" s="8">
        <v>9</v>
      </c>
      <c r="AH150" s="8">
        <v>4</v>
      </c>
      <c r="AI150" s="8">
        <v>12</v>
      </c>
      <c r="AJ150" s="8">
        <v>2</v>
      </c>
      <c r="AK150" s="8">
        <v>1</v>
      </c>
    </row>
    <row r="151" spans="1:39" x14ac:dyDescent="0.2">
      <c r="A151" s="1" t="s">
        <v>718</v>
      </c>
      <c r="B151" s="1" t="s">
        <v>704</v>
      </c>
      <c r="C151" s="1" t="s">
        <v>205</v>
      </c>
      <c r="D151" s="1" t="str">
        <f t="shared" ref="D151" si="51">"abilities/heroes/"&amp;LEFT(A151,LEN(A151)-2)&amp;"/"&amp;A151</f>
        <v>abilities/heroes/monkey_king/monkey_king_4</v>
      </c>
      <c r="E151" s="1" t="str">
        <f t="shared" si="46"/>
        <v>monkey_king_4</v>
      </c>
      <c r="F151" s="1" t="s">
        <v>245</v>
      </c>
      <c r="I151" s="1">
        <v>8</v>
      </c>
      <c r="J151" s="1">
        <v>8</v>
      </c>
      <c r="K151" s="1">
        <v>24</v>
      </c>
      <c r="L151" s="1" t="s">
        <v>681</v>
      </c>
      <c r="M151" s="1">
        <v>1200</v>
      </c>
      <c r="Q151" s="1">
        <v>60</v>
      </c>
      <c r="S151" s="1">
        <v>1</v>
      </c>
      <c r="T151" s="1">
        <v>4</v>
      </c>
      <c r="U151" s="1" t="s">
        <v>502</v>
      </c>
      <c r="W151" s="1" t="s">
        <v>308</v>
      </c>
      <c r="X151" s="1" t="s">
        <v>208</v>
      </c>
      <c r="Y151" s="1" t="s">
        <v>209</v>
      </c>
      <c r="AA151" s="8" t="s">
        <v>364</v>
      </c>
      <c r="AC151" s="8" t="s">
        <v>687</v>
      </c>
      <c r="AD151" s="8" t="s">
        <v>692</v>
      </c>
      <c r="AE151" s="8" t="s">
        <v>694</v>
      </c>
      <c r="AF151" s="8" t="s">
        <v>696</v>
      </c>
      <c r="AG151" s="8" t="s">
        <v>697</v>
      </c>
      <c r="AH151" s="8" t="s">
        <v>698</v>
      </c>
      <c r="AI151" s="8" t="s">
        <v>710</v>
      </c>
      <c r="AJ151" s="8" t="s">
        <v>234</v>
      </c>
      <c r="AK151" s="8" t="s">
        <v>470</v>
      </c>
    </row>
    <row r="152" spans="1:39" x14ac:dyDescent="0.2">
      <c r="AC152" s="8" t="s">
        <v>688</v>
      </c>
      <c r="AD152" s="8">
        <v>1200</v>
      </c>
      <c r="AE152" s="8">
        <v>1</v>
      </c>
      <c r="AF152" s="8" t="s">
        <v>640</v>
      </c>
      <c r="AG152" s="8">
        <v>400</v>
      </c>
      <c r="AH152" s="8">
        <v>4</v>
      </c>
      <c r="AI152" s="8" t="s">
        <v>711</v>
      </c>
      <c r="AJ152" s="8">
        <v>9</v>
      </c>
      <c r="AK152" s="8">
        <v>20</v>
      </c>
    </row>
    <row r="153" spans="1:39" x14ac:dyDescent="0.2">
      <c r="A153" s="1" t="s">
        <v>719</v>
      </c>
      <c r="B153" s="1" t="s">
        <v>732</v>
      </c>
      <c r="C153" s="1" t="s">
        <v>205</v>
      </c>
      <c r="F153" s="1" t="s">
        <v>206</v>
      </c>
      <c r="I153" s="1">
        <v>1</v>
      </c>
      <c r="S153" s="1">
        <v>1</v>
      </c>
      <c r="T153" s="1">
        <v>4</v>
      </c>
      <c r="W153" s="1" t="s">
        <v>0</v>
      </c>
      <c r="X153" s="1" t="s">
        <v>208</v>
      </c>
      <c r="Y153" s="1" t="s">
        <v>209</v>
      </c>
      <c r="AA153" s="8" t="s">
        <v>210</v>
      </c>
      <c r="AC153" s="8" t="s">
        <v>269</v>
      </c>
      <c r="AD153" s="8" t="s">
        <v>726</v>
      </c>
      <c r="AE153" s="8" t="s">
        <v>232</v>
      </c>
      <c r="AF153" s="8" t="s">
        <v>220</v>
      </c>
      <c r="AG153" s="8" t="s">
        <v>320</v>
      </c>
      <c r="AH153" s="8" t="s">
        <v>728</v>
      </c>
      <c r="AI153" s="8" t="s">
        <v>235</v>
      </c>
    </row>
    <row r="154" spans="1:39" x14ac:dyDescent="0.2">
      <c r="AC154" s="8">
        <v>1</v>
      </c>
      <c r="AD154" s="8">
        <v>0.5</v>
      </c>
      <c r="AE154" s="8">
        <v>10</v>
      </c>
      <c r="AF154" s="8">
        <v>350</v>
      </c>
      <c r="AG154" s="8">
        <v>1</v>
      </c>
      <c r="AH154" s="8">
        <v>1</v>
      </c>
      <c r="AI154" s="8">
        <v>15</v>
      </c>
    </row>
    <row r="155" spans="1:39" x14ac:dyDescent="0.2">
      <c r="A155" s="1" t="s">
        <v>720</v>
      </c>
      <c r="B155" s="1" t="s">
        <v>733</v>
      </c>
      <c r="C155" s="1" t="s">
        <v>205</v>
      </c>
      <c r="F155" s="1" t="s">
        <v>206</v>
      </c>
      <c r="I155" s="1">
        <v>20</v>
      </c>
      <c r="J155" s="1">
        <v>1</v>
      </c>
      <c r="K155" s="1">
        <v>3</v>
      </c>
      <c r="L155" s="1" t="s">
        <v>448</v>
      </c>
      <c r="M155" s="1">
        <v>2000</v>
      </c>
      <c r="N155" s="1">
        <v>0.48</v>
      </c>
      <c r="Q155" s="1">
        <v>12</v>
      </c>
      <c r="S155" s="1">
        <v>1</v>
      </c>
      <c r="T155" s="1">
        <v>1</v>
      </c>
      <c r="U155" s="1" t="s">
        <v>218</v>
      </c>
      <c r="W155" s="1" t="s">
        <v>89</v>
      </c>
      <c r="X155" s="1" t="s">
        <v>208</v>
      </c>
      <c r="Y155" s="1" t="s">
        <v>209</v>
      </c>
      <c r="AA155" s="8" t="s">
        <v>210</v>
      </c>
      <c r="AC155" s="8" t="s">
        <v>219</v>
      </c>
      <c r="AD155" s="8" t="s">
        <v>232</v>
      </c>
      <c r="AE155" s="8" t="s">
        <v>269</v>
      </c>
      <c r="AF155" s="8" t="s">
        <v>272</v>
      </c>
      <c r="AG155" s="8" t="s">
        <v>468</v>
      </c>
      <c r="AH155" s="8" t="s">
        <v>211</v>
      </c>
      <c r="AI155" s="8" t="s">
        <v>695</v>
      </c>
      <c r="AJ155" s="8" t="s">
        <v>731</v>
      </c>
      <c r="AK155" s="8" t="s">
        <v>728</v>
      </c>
      <c r="AL155" s="8" t="s">
        <v>582</v>
      </c>
      <c r="AM155" s="8" t="s">
        <v>470</v>
      </c>
    </row>
    <row r="156" spans="1:39" x14ac:dyDescent="0.2">
      <c r="AC156" s="8" t="s">
        <v>384</v>
      </c>
      <c r="AD156" s="8">
        <v>3</v>
      </c>
      <c r="AE156" s="8" t="s">
        <v>349</v>
      </c>
      <c r="AF156" s="8">
        <v>2000</v>
      </c>
      <c r="AG156" s="8">
        <v>200</v>
      </c>
      <c r="AH156" s="8">
        <v>1.5</v>
      </c>
      <c r="AI156" s="8">
        <v>100</v>
      </c>
      <c r="AJ156" s="8">
        <v>3.5</v>
      </c>
      <c r="AK156" s="8">
        <v>6</v>
      </c>
      <c r="AL156" s="8">
        <v>6</v>
      </c>
      <c r="AM156" s="8">
        <v>20</v>
      </c>
    </row>
    <row r="157" spans="1:39" x14ac:dyDescent="0.2">
      <c r="A157" s="1" t="s">
        <v>721</v>
      </c>
      <c r="B157" s="1" t="s">
        <v>736</v>
      </c>
      <c r="C157" s="1" t="s">
        <v>205</v>
      </c>
      <c r="F157" s="1" t="s">
        <v>206</v>
      </c>
      <c r="I157" s="1">
        <v>20</v>
      </c>
      <c r="J157" s="1">
        <v>1</v>
      </c>
      <c r="K157" s="1">
        <v>3</v>
      </c>
      <c r="L157" s="1" t="s">
        <v>448</v>
      </c>
      <c r="M157" s="1">
        <v>1300</v>
      </c>
      <c r="N157" s="1">
        <v>0.48</v>
      </c>
      <c r="Q157" s="1">
        <v>6</v>
      </c>
      <c r="S157" s="1">
        <v>1</v>
      </c>
      <c r="T157" s="1">
        <v>2</v>
      </c>
      <c r="U157" s="1" t="s">
        <v>218</v>
      </c>
      <c r="W157" s="1" t="s">
        <v>308</v>
      </c>
      <c r="X157" s="1" t="s">
        <v>208</v>
      </c>
      <c r="Y157" s="1" t="s">
        <v>209</v>
      </c>
      <c r="AA157" s="8" t="s">
        <v>210</v>
      </c>
      <c r="AC157" s="8" t="s">
        <v>211</v>
      </c>
      <c r="AD157" s="8" t="s">
        <v>269</v>
      </c>
      <c r="AE157" s="8" t="s">
        <v>220</v>
      </c>
      <c r="AF157" s="8" t="s">
        <v>219</v>
      </c>
      <c r="AG157" s="8" t="s">
        <v>737</v>
      </c>
      <c r="AH157" s="8" t="s">
        <v>232</v>
      </c>
      <c r="AI157" s="8" t="s">
        <v>320</v>
      </c>
      <c r="AJ157" s="8" t="s">
        <v>278</v>
      </c>
      <c r="AK157" s="8" t="s">
        <v>728</v>
      </c>
      <c r="AL157" s="8" t="s">
        <v>234</v>
      </c>
    </row>
    <row r="158" spans="1:39" x14ac:dyDescent="0.2">
      <c r="AC158" s="8">
        <v>1.5</v>
      </c>
      <c r="AD158" s="8" t="s">
        <v>347</v>
      </c>
      <c r="AE158" s="8">
        <v>350</v>
      </c>
      <c r="AF158" s="8" t="s">
        <v>417</v>
      </c>
      <c r="AG158" s="8" t="s">
        <v>354</v>
      </c>
      <c r="AH158" s="8">
        <v>3</v>
      </c>
      <c r="AI158" s="8">
        <v>1</v>
      </c>
      <c r="AJ158" s="8">
        <v>80</v>
      </c>
      <c r="AK158" s="8">
        <v>3</v>
      </c>
      <c r="AL158" s="8">
        <v>2</v>
      </c>
    </row>
    <row r="159" spans="1:39" x14ac:dyDescent="0.2">
      <c r="A159" s="1" t="s">
        <v>722</v>
      </c>
      <c r="B159" s="1" t="s">
        <v>734</v>
      </c>
      <c r="C159" s="1" t="s">
        <v>205</v>
      </c>
      <c r="F159" s="1" t="s">
        <v>206</v>
      </c>
      <c r="I159" s="1">
        <v>20</v>
      </c>
      <c r="J159" s="1">
        <v>1</v>
      </c>
      <c r="K159" s="1">
        <v>3</v>
      </c>
      <c r="W159" s="1" t="s">
        <v>0</v>
      </c>
      <c r="X159" s="1" t="s">
        <v>208</v>
      </c>
      <c r="Y159" s="1" t="s">
        <v>209</v>
      </c>
      <c r="AA159" s="8" t="s">
        <v>210</v>
      </c>
      <c r="AC159" s="8" t="s">
        <v>269</v>
      </c>
      <c r="AD159" s="8" t="s">
        <v>421</v>
      </c>
      <c r="AE159" s="8" t="s">
        <v>232</v>
      </c>
      <c r="AF159" s="8" t="s">
        <v>320</v>
      </c>
      <c r="AG159" s="8" t="s">
        <v>728</v>
      </c>
    </row>
    <row r="160" spans="1:39" x14ac:dyDescent="0.2">
      <c r="AC160" s="8" t="s">
        <v>724</v>
      </c>
      <c r="AD160" s="8">
        <v>10</v>
      </c>
      <c r="AE160" s="8">
        <v>5</v>
      </c>
      <c r="AF160" s="8">
        <v>1</v>
      </c>
      <c r="AG160" s="8">
        <v>1</v>
      </c>
    </row>
    <row r="161" spans="1:39" x14ac:dyDescent="0.2">
      <c r="A161" s="1" t="s">
        <v>723</v>
      </c>
      <c r="B161" s="1" t="s">
        <v>735</v>
      </c>
      <c r="C161" s="1" t="s">
        <v>205</v>
      </c>
      <c r="F161" s="1" t="s">
        <v>245</v>
      </c>
      <c r="I161" s="1">
        <v>8</v>
      </c>
      <c r="J161" s="1">
        <v>8</v>
      </c>
      <c r="K161" s="1">
        <v>24</v>
      </c>
      <c r="L161" s="1" t="s">
        <v>226</v>
      </c>
      <c r="N161" s="1">
        <v>0.3</v>
      </c>
      <c r="Q161" s="1">
        <v>30</v>
      </c>
      <c r="S161" s="1">
        <v>1</v>
      </c>
      <c r="T161" s="1">
        <v>3</v>
      </c>
      <c r="U161" s="1" t="s">
        <v>502</v>
      </c>
      <c r="W161" s="1" t="s">
        <v>88</v>
      </c>
      <c r="X161" s="1" t="s">
        <v>208</v>
      </c>
      <c r="Y161" s="1" t="s">
        <v>209</v>
      </c>
      <c r="AA161" s="8" t="s">
        <v>210</v>
      </c>
      <c r="AC161" s="8" t="s">
        <v>269</v>
      </c>
      <c r="AD161" s="8" t="s">
        <v>220</v>
      </c>
      <c r="AE161" s="8" t="s">
        <v>399</v>
      </c>
      <c r="AF161" s="8" t="s">
        <v>211</v>
      </c>
      <c r="AG161" s="8" t="s">
        <v>288</v>
      </c>
      <c r="AH161" s="8" t="s">
        <v>729</v>
      </c>
      <c r="AI161" s="8" t="s">
        <v>730</v>
      </c>
      <c r="AJ161" s="8" t="s">
        <v>320</v>
      </c>
      <c r="AK161" s="8" t="s">
        <v>232</v>
      </c>
      <c r="AL161" s="8" t="s">
        <v>728</v>
      </c>
      <c r="AM161" s="8" t="s">
        <v>738</v>
      </c>
    </row>
    <row r="162" spans="1:39" x14ac:dyDescent="0.2">
      <c r="AC162" s="8" t="s">
        <v>725</v>
      </c>
      <c r="AD162" s="8">
        <v>250</v>
      </c>
      <c r="AE162" s="8">
        <v>800</v>
      </c>
      <c r="AF162" s="8" t="s">
        <v>727</v>
      </c>
      <c r="AG162" s="8">
        <v>1</v>
      </c>
      <c r="AH162" s="8">
        <v>12</v>
      </c>
      <c r="AI162" s="8">
        <v>2</v>
      </c>
      <c r="AJ162" s="8">
        <v>0.25</v>
      </c>
      <c r="AK162" s="8">
        <v>3</v>
      </c>
      <c r="AL162" s="8">
        <v>2</v>
      </c>
      <c r="AM162" s="8">
        <v>60</v>
      </c>
    </row>
  </sheetData>
  <phoneticPr fontId="1" type="noConversion"/>
  <conditionalFormatting sqref="A3:XFD10000">
    <cfRule type="expression" dxfId="7" priority="2">
      <formula>MOD(ROW(A4),2)=0</formula>
    </cfRule>
    <cfRule type="expression" dxfId="6" priority="3">
      <formula>MOD(ROW(A4),4)&lt;2</formula>
    </cfRule>
    <cfRule type="expression" dxfId="5" priority="4">
      <formula>MOD(ROW(A6),4)&lt;2</formula>
    </cfRule>
  </conditionalFormatting>
  <conditionalFormatting sqref="A3:Z10000">
    <cfRule type="expression" dxfId="4" priority="1">
      <formula>AND(ISBLANK(A3)=FALSE,MOD(ROW(),2)=0)</formula>
    </cfRule>
  </conditionalFormatting>
  <dataValidations count="1">
    <dataValidation type="list" allowBlank="1" showInputMessage="1" showErrorMessage="1" sqref="C3:C1048576" xr:uid="{7C7D9623-68CB-4C6A-989F-D0A3CC62E11D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11034B-147D-4FCE-B694-DC389419C817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2021-05-29T15:43:18Z</dcterms:modified>
</cp:coreProperties>
</file>