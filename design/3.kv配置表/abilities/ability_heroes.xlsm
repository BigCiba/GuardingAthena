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964768AF-D7A4-41E0-B6CE-D03ED8A362F3}" xr6:coauthVersionLast="45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5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3" i="1" l="1"/>
  <c r="E135" i="1"/>
  <c r="E137" i="1"/>
  <c r="E139" i="1"/>
  <c r="E141" i="1"/>
  <c r="D133" i="1"/>
  <c r="D135" i="1"/>
  <c r="D137" i="1"/>
  <c r="D139" i="1"/>
  <c r="D141" i="1"/>
  <c r="E131" i="25"/>
  <c r="D131" i="25"/>
  <c r="E129" i="25"/>
  <c r="D129" i="25"/>
  <c r="E127" i="25"/>
  <c r="D127" i="25"/>
  <c r="E125" i="25"/>
  <c r="D125" i="25"/>
  <c r="E123" i="25"/>
  <c r="D123" i="25"/>
  <c r="E121" i="25"/>
  <c r="D121" i="25"/>
  <c r="E119" i="25"/>
  <c r="D119" i="25"/>
  <c r="E117" i="25"/>
  <c r="D117" i="25"/>
  <c r="E115" i="25"/>
  <c r="D115" i="25"/>
  <c r="E113" i="25"/>
  <c r="D113" i="25"/>
  <c r="E111" i="25"/>
  <c r="D111" i="25"/>
  <c r="E109" i="25"/>
  <c r="D109" i="25"/>
  <c r="E107" i="25"/>
  <c r="D107" i="25"/>
  <c r="E105" i="25"/>
  <c r="D105" i="25"/>
  <c r="E103" i="25"/>
  <c r="D103" i="25"/>
  <c r="E101" i="25"/>
  <c r="D101" i="25"/>
  <c r="E99" i="25"/>
  <c r="D99" i="25"/>
  <c r="E97" i="25"/>
  <c r="D97" i="25"/>
  <c r="E95" i="25"/>
  <c r="D95" i="25"/>
  <c r="E93" i="25"/>
  <c r="D93" i="25"/>
  <c r="E91" i="25"/>
  <c r="D91" i="25"/>
  <c r="E89" i="25"/>
  <c r="D89" i="25"/>
  <c r="E87" i="25"/>
  <c r="D87" i="25"/>
  <c r="E85" i="25"/>
  <c r="D85" i="25"/>
  <c r="E83" i="25"/>
  <c r="D83" i="25"/>
  <c r="E81" i="25"/>
  <c r="D81" i="25"/>
  <c r="E79" i="25"/>
  <c r="D79" i="25"/>
  <c r="E77" i="25"/>
  <c r="D77" i="25"/>
  <c r="E75" i="25"/>
  <c r="D75" i="25"/>
  <c r="E73" i="25"/>
  <c r="D73" i="25"/>
  <c r="E71" i="25"/>
  <c r="E69" i="25"/>
  <c r="D69" i="25"/>
  <c r="E67" i="25"/>
  <c r="D67" i="25"/>
  <c r="E65" i="25"/>
  <c r="D65" i="25"/>
  <c r="E63" i="25"/>
  <c r="D63" i="25"/>
  <c r="E61" i="25"/>
  <c r="D61" i="25"/>
  <c r="E59" i="25"/>
  <c r="E57" i="25"/>
  <c r="D57" i="25"/>
  <c r="E55" i="25"/>
  <c r="D55" i="25"/>
  <c r="E53" i="25"/>
  <c r="D53" i="25"/>
  <c r="E51" i="25"/>
  <c r="D51" i="25"/>
  <c r="E49" i="25"/>
  <c r="D49" i="25"/>
  <c r="D47" i="25"/>
  <c r="D45" i="25"/>
  <c r="D43" i="25"/>
  <c r="D41" i="25"/>
  <c r="D39" i="25"/>
  <c r="E21" i="25"/>
  <c r="D21" i="25"/>
  <c r="E19" i="25"/>
  <c r="D19" i="25"/>
  <c r="E17" i="25"/>
  <c r="D17" i="25"/>
  <c r="E15" i="25"/>
  <c r="D15" i="25"/>
  <c r="E13" i="25"/>
  <c r="D13" i="25"/>
  <c r="E11" i="25"/>
  <c r="D11" i="25"/>
  <c r="E9" i="25"/>
  <c r="D9" i="25"/>
  <c r="E7" i="25"/>
  <c r="D7" i="25"/>
  <c r="E5" i="25"/>
  <c r="D5" i="25"/>
  <c r="E3" i="25"/>
  <c r="D3" i="25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<sst xmlns="http://schemas.openxmlformats.org/spreadsheetml/2006/main" count="2888" uniqueCount="738">
  <si>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</si>
  <si>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</si>
  <si>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</si>
  <si>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</si>
  <si>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</si>
  <si>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</si>
  <si>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</si>
  <si>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</si>
  <si>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</si>
  <si>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</si>
  <si>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</si>
  <si>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</si>
  <si>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</si>
  <si>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</si>
  <si>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</si>
  <si>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</si>
  <si>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</si>
  <si>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</si>
  <si>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</si>
  <si>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</si>
  <si>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</si>
  <si>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</si>
  <si>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</si>
  <si>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</si>
  <si>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</si>
  <si>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</si>
  <si>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</si>
  <si>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</si>
  <si>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</si>
  <si>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</si>
  <si>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</si>
  <si>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</si>
  <si>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</si>
  <si>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</si>
  <si>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</si>
  <si>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</si>
  <si>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</si>
  <si>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</si>
  <si>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</si>
  <si>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</si>
  <si>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</si>
  <si>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</si>
  <si>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</si>
  <si>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</si>
  <si>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</si>
  <si>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</si>
  <si>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</si>
  <si>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</si>
  <si>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</si>
  <si>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</si>
  <si>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</si>
  <si>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</si>
  <si>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</si>
  <si>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</si>
  <si>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</si>
  <si>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</si>
  <si>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</si>
  <si>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</si>
  <si>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</si>
  <si>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</si>
  <si>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</si>
  <si>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</si>
  <si>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</si>
  <si>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</si>
  <si>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</si>
  <si>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</si>
  <si>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</si>
  <si>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</si>
  <si>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</si>
  <si>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</si>
  <si>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</si>
  <si>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</si>
  <si>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</si>
  <si>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</si>
  <si>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</si>
  <si>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</si>
  <si>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</si>
  <si>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</si>
  <si>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</si>
  <si>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</si>
  <si>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</si>
  <si>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</si>
  <si>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</si>
  <si>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</si>
  <si>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</si>
  <si>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</si>
  <si>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</si>
  <si>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</si>
  <si>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</si>
  <si>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</si>
  <si>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</si>
  <si>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</si>
  <si>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</si>
  <si>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</si>
  <si>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</si>
  <si>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</si>
  <si>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</si>
  <si>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</si>
  <si>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</si>
  <si>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</si>
  <si>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</si>
  <si>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</si>
  <si>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</si>
  <si>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</si>
  <si>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</si>
  <si>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</si>
  <si>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</si>
  <si>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</si>
  <si>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</si>
  <si>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</si>
  <si>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</si>
  <si>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</si>
  <si>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</si>
  <si>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</si>
  <si>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</si>
  <si>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</si>
  <si>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</si>
  <si>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</si>
  <si>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</si>
  <si>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</si>
  <si>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</si>
  <si>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</si>
  <si>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</si>
  <si>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</si>
  <si>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</si>
  <si>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</si>
  <si>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</si>
  <si>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</si>
  <si>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</si>
  <si>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</si>
  <si>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</si>
  <si>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</si>
  <si>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</si>
  <si>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</si>
  <si>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</si>
  <si>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</si>
  <si>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</si>
  <si>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</si>
  <si>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</si>
  <si>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</si>
  <si>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</si>
  <si>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</si>
  <si>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</si>
  <si>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</si>
  <si>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</si>
  <si>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</si>
  <si>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</si>
  <si>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</si>
  <si>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</si>
  <si>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</si>
  <si>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</si>
  <si>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</si>
  <si>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</si>
  <si>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</si>
  <si>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</si>
  <si>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</si>
  <si>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</si>
  <si>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</si>
  <si>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</si>
  <si>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</si>
  <si>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</si>
  <si>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</si>
  <si>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</si>
  <si>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</si>
  <si>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</si>
  <si>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</si>
  <si>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</si>
  <si>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</si>
  <si>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</si>
  <si>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</si>
  <si>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</si>
  <si>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</si>
  <si>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</si>
  <si>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</si>
  <si>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</si>
  <si>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</si>
  <si>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</si>
  <si>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</si>
  <si>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</si>
  <si>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</si>
  <si>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</si>
  <si>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</si>
  <si>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</si>
  <si>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</si>
  <si>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</si>
  <si>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</si>
  <si>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</si>
  <si>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</si>
  <si>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</si>
  <si>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</si>
  <si>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</si>
  <si>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</si>
  <si>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</si>
  <si>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</si>
  <si>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</si>
  <si>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</si>
  <si>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</si>
  <si>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</si>
  <si>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</si>
  <si>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</si>
  <si>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</si>
  <si>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</si>
  <si>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</si>
  <si>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</si>
  <si>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</si>
  <si>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</si>
  <si>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</si>
  <si>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</si>
  <si>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</si>
  <si>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</si>
  <si>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</si>
  <si>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</si>
  <si>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</si>
  <si>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</si>
  <si>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</si>
  <si>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</si>
  <si>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</si>
  <si>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</si>
  <si>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</si>
  <si>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</si>
  <si>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</si>
  <si>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</si>
  <si>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</si>
  <si>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</si>
  <si>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</si>
  <si>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</si>
  <si>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</si>
  <si>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</si>
  <si>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</si>
  <si>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</si>
  <si>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</si>
  <si>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</si>
  <si>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</si>
  <si>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</si>
  <si>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</si>
  <si>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</si>
  <si>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</si>
  <si>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</si>
  <si>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</si>
  <si>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</si>
  <si>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</si>
  <si>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</si>
  <si>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</si>
  <si>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</si>
  <si>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</si>
  <si>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</si>
  <si>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</si>
  <si>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</si>
  <si>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</si>
  <si>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</si>
  <si>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</si>
  <si>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</si>
  <si>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</si>
  <si>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</si>
  <si>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</si>
  <si>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</si>
  <si>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</si>
  <si>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</si>
  <si>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</si>
  <si>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</si>
  <si>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</si>
  <si>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</si>
  <si>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</si>
  <si>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</si>
  <si>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</si>
  <si>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</si>
  <si>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</si>
  <si>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</si>
  <si>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</si>
  <si>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</si>
  <si>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</si>
  <si>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</si>
  <si>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</si>
  <si>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</si>
  <si>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</si>
  <si>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</si>
  <si>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</si>
  <si>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</si>
  <si>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</si>
  <si>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</si>
  <si>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</si>
  <si>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</si>
  <si>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</si>
  <si>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</si>
  <si>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</si>
  <si>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</si>
  <si>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</si>
  <si>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</si>
  <si>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</si>
  <si>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</si>
  <si>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</si>
  <si>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</si>
  <si>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</si>
  <si>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</si>
  <si>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</si>
  <si>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</si>
  <si>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</si>
  <si>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</si>
  <si>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</si>
  <si>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</si>
  <si>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</si>
  <si>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</si>
  <si>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</si>
  <si>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</si>
  <si>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</si>
  <si>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</si>
  <si>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</si>
  <si>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</si>
  <si>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</si>
  <si>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</si>
  <si>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</si>
  <si>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</si>
  <si>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</si>
  <si>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</si>
  <si>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</si>
  <si>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</si>
  <si>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</si>
  <si>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</si>
  <si>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</si>
  <si>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</si>
  <si>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</si>
  <si>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</si>
  <si>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</si>
  <si>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</si>
  <si>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</si>
  <si>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</si>
  <si>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</si>
  <si>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</si>
  <si>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</si>
  <si>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</si>
  <si>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</si>
  <si>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</si>
  <si>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</si>
  <si>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</si>
  <si>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</si>
  <si>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</si>
  <si>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</si>
  <si>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</si>
  <si>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</si>
  <si>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</si>
  <si>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</si>
  <si>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</si>
  <si>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</si>
  <si>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</si>
  <si>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</si>
  <si>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</si>
  <si>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</si>
  <si>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</si>
  <si>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</si>
  <si>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</si>
  <si>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</si>
  <si>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</si>
  <si>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</si>
  <si>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</si>
  <si>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</si>
  <si>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</si>
  <si>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</si>
  <si>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</si>
  <si>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</si>
  <si>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</si>
  <si>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</si>
  <si>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</si>
  <si>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</si>
  <si>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</si>
  <si>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</si>
  <si>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</si>
  <si>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</si>
  <si>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</si>
  <si>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</si>
  <si>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</si>
  <si>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</si>
  <si>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</si>
  <si>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</si>
  <si>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</si>
  <si>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</si>
  <si>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</si>
  <si>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</si>
  <si>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</si>
  <si>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</si>
  <si>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</si>
  <si>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</si>
  <si>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</si>
  <si>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</si>
  <si>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</si>
  <si>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</si>
  <si>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</si>
  <si>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</si>
  <si>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</si>
  <si>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</si>
  <si>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</si>
  <si>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</si>
  <si>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</si>
  <si>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</si>
  <si>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</si>
  <si>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</si>
  <si>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</si>
  <si>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</si>
  <si>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</si>
  <si>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</si>
  <si>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</si>
  <si>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</si>
  <si>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</si>
  <si>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</si>
  <si>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</si>
  <si>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</si>
  <si>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</si>
  <si>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</si>
  <si>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</si>
  <si>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</si>
  <si>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</si>
  <si>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</si>
  <si>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</si>
  <si>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</si>
  <si>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</si>
  <si>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</si>
  <si>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</si>
  <si>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</si>
  <si>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</si>
  <si>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</si>
  <si>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</si>
  <si>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</si>
  <si>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</si>
  <si>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</si>
  <si>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</si>
  <si>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</si>
  <si>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</si>
  <si>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</si>
  <si>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</si>
  <si>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</si>
  <si>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</si>
  <si>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</si>
  <si>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</si>
  <si>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</si>
  <si>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</si>
  <si>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</si>
  <si>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</si>
  <si>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</si>
  <si>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</si>
  <si>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</si>
  <si>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</si>
  <si>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</si>
  <si>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</si>
  <si>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</si>
  <si>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</si>
  <si>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</si>
  <si>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</si>
  <si>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</si>
  <si>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</si>
  <si>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</si>
  <si>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</si>
  <si>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</si>
  <si>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</si>
  <si>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</si>
  <si>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</si>
  <si>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</si>
  <si>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</si>
  <si>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</si>
  <si>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</si>
  <si>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</si>
  <si>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</si>
  <si>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</si>
  <si>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</si>
  <si>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</si>
  <si>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</si>
  <si>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</si>
  <si>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</si>
  <si>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</si>
  <si>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</si>
  <si>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</si>
  <si>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</si>
  <si>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</si>
  <si>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</si>
  <si>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</si>
  <si>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</si>
  <si>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</si>
  <si>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</si>
  <si>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</si>
  <si>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</si>
  <si>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</si>
  <si>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</si>
  <si>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</si>
  <si>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</si>
  <si>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</si>
  <si>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</si>
  <si>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</si>
  <si>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</si>
  <si>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</si>
  <si>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</si>
  <si>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</si>
  <si>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</si>
  <si>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</si>
  <si>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</si>
  <si>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</si>
  <si>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</si>
  <si>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</si>
  <si>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</si>
  <si>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</si>
  <si>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</si>
  <si>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</si>
  <si>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</si>
  <si>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</si>
  <si>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</si>
  <si>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</si>
  <si>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</si>
  <si>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</si>
  <si>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</si>
  <si>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</si>
  <si>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</si>
  <si>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</si>
  <si>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</si>
  <si>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</si>
  <si>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</si>
  <si>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</si>
  <si>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</si>
  <si>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</si>
  <si>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</si>
  <si>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</si>
  <si>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</si>
  <si>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</si>
  <si>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</si>
  <si>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</si>
  <si>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</si>
  <si>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</si>
  <si>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</si>
  <si>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</si>
  <si>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</si>
  <si>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</si>
  <si>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</si>
  <si>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</si>
  <si>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</si>
  <si>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</si>
  <si>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</si>
  <si>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</si>
  <si>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</si>
  <si>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</si>
  <si>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</si>
  <si>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</si>
  <si>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</si>
  <si>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</si>
  <si>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</si>
  <si>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</si>
  <si>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</si>
  <si>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</si>
  <si>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</si>
  <si>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</si>
  <si>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</si>
  <si>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</si>
  <si>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</si>
  <si>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</si>
  <si>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</si>
  <si>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</si>
  <si>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</si>
  <si>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</si>
  <si>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</si>
  <si>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</si>
  <si>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</si>
  <si>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</si>
  <si>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</si>
  <si>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</si>
  <si>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</si>
  <si>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</si>
  <si>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</si>
  <si>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</si>
  <si>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</si>
  <si>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</si>
  <si>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</si>
  <si>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</si>
  <si>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</si>
  <si>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</si>
  <si>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</si>
  <si>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</si>
  <si>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</si>
  <si>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</si>
  <si>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</si>
  <si>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</si>
  <si>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</si>
  <si>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</si>
  <si>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</si>
  <si>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</si>
  <si>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</si>
  <si>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</si>
  <si>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</si>
  <si>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</si>
  <si>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</si>
  <si>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</si>
  <si>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</si>
  <si>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</si>
  <si>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</si>
  <si>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</si>
  <si>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</si>
  <si>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</si>
  <si>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</si>
  <si>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</si>
  <si>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</si>
  <si>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</si>
  <si>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</si>
  <si>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</si>
  <si>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</si>
  <si>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</si>
  <si>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</si>
  <si>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</si>
  <si>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</si>
  <si>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</si>
  <si>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</si>
  <si>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</si>
  <si>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</si>
  <si>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</si>
  <si>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</si>
  <si>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</si>
  <si>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</si>
  <si>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</si>
  <si>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</si>
  <si>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</si>
  <si>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</si>
  <si>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</si>
  <si>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</si>
  <si>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</si>
  <si>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</si>
  <si>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</si>
  <si>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</si>
  <si>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</si>
  <si>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</si>
  <si>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</si>
  <si>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</si>
  <si>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</si>
  <si>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</si>
  <si>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</si>
  <si>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</si>
  <si>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</si>
  <si>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</si>
  <si>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</si>
  <si>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</si>
  <si>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</si>
  <si>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</si>
  <si>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</si>
  <si>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</si>
  <si>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</si>
  <si>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</si>
  <si>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</si>
  <si>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</si>
  <si>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</si>
  <si>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</si>
  <si>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</si>
  <si>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</si>
  <si>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</si>
  <si>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</si>
  <si>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</si>
  <si>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</si>
  <si>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</si>
  <si>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</si>
  <si>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</si>
  <si>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</si>
  <si>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</si>
  <si>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</si>
  <si>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</si>
  <si>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</si>
  <si>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</si>
  <si>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</si>
  <si>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</si>
  <si>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</si>
  <si>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</si>
  <si>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</si>
  <si>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</si>
  <si>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</si>
  <si>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</si>
  <si>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</si>
  <si>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</si>
  <si>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</si>
  <si>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</si>
  <si>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</si>
  <si>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</si>
  <si>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</si>
  <si>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</si>
  <si>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</si>
  <si>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</si>
  <si>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</si>
  <si>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</si>
  <si>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</si>
  <si>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</si>
  <si>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</si>
  <si>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</t>
    <phoneticPr fontId="1" type="noConversion"/>
  </si>
  <si>
    <t>1</t>
    <phoneticPr fontId="1" type="noConversion"/>
  </si>
  <si>
    <t>2000 4000 6000 8000 10000 12000 14000 16000 18000 20000 22000 24000 26000 28000 30000 32000 34000 36000 38000 40000</t>
    <phoneticPr fontId="1" type="noConversion"/>
  </si>
  <si>
    <t>40</t>
    <phoneticPr fontId="1" type="noConversion"/>
  </si>
  <si>
    <t>20 30 40 50 60 70 80 90 100 110 120 130 140 150 160 170 180 190 200 210</t>
  </si>
  <si>
    <t>ACT_DOTA_CAST_ABILITY_2</t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</si>
  <si>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</si>
  <si>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</si>
  <si>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</si>
  <si>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</si>
  <si>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</si>
  <si>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</si>
  <si>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</si>
  <si>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</si>
  <si>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</si>
  <si>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</si>
  <si>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</si>
  <si>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</si>
  <si>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</si>
  <si>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</si>
  <si>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</si>
  <si>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</si>
  <si>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</si>
  <si>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</si>
  <si>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</si>
  <si>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</si>
  <si>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</si>
  <si>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</si>
  <si>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</si>
  <si>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</si>
  <si>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</si>
  <si>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</si>
  <si>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monkey_king_1</t>
  </si>
  <si>
    <t>monkey_king_2</t>
  </si>
  <si>
    <t>monkey_king_3</t>
  </si>
  <si>
    <t>monkey_king_4</t>
  </si>
  <si>
    <t>monkey_king_0</t>
    <phoneticPr fontId="1" type="noConversion"/>
  </si>
  <si>
    <t>1200</t>
    <phoneticPr fontId="1" type="noConversion"/>
  </si>
  <si>
    <t>求和</t>
    <phoneticPr fontId="1" type="noConversion"/>
  </si>
  <si>
    <t>平均值</t>
    <phoneticPr fontId="1" type="noConversion"/>
  </si>
  <si>
    <t>60</t>
    <phoneticPr fontId="1" type="noConversion"/>
  </si>
  <si>
    <t>80</t>
    <phoneticPr fontId="1" type="noConversion"/>
  </si>
  <si>
    <t>2</t>
    <phoneticPr fontId="1" type="noConversion"/>
  </si>
  <si>
    <t>10</t>
    <phoneticPr fontId="1" type="noConversion"/>
  </si>
  <si>
    <t>120</t>
    <phoneticPr fontId="1" type="noConversion"/>
  </si>
  <si>
    <t>9</t>
    <phoneticPr fontId="1" type="noConversion"/>
  </si>
  <si>
    <t>300</t>
    <phoneticPr fontId="1" type="noConversion"/>
  </si>
  <si>
    <t>4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</si>
  <si>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</si>
  <si>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</si>
  <si>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</si>
  <si>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</si>
  <si>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12</t>
    <phoneticPr fontId="1" type="noConversion"/>
  </si>
  <si>
    <t>scepter_counter_duration</t>
    <phoneticPr fontId="1" type="noConversion"/>
  </si>
  <si>
    <t>scepter_counter_attack</t>
    <phoneticPr fontId="1" type="noConversion"/>
  </si>
  <si>
    <t>15</t>
    <phoneticPr fontId="1" type="noConversion"/>
  </si>
  <si>
    <t>scepter_critical</t>
    <phoneticPr fontId="1" type="noConversion"/>
  </si>
  <si>
    <t>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</si>
</sst>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</cellXfs>
  <cellStyles count="1">
    <cellStyle name="常规" xfId="0" builtinId="0"/>
  </cellStyles>
  <dxfs count="11"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42"/>
  <sheetViews>
    <sheetView tabSelected="1" workbookViewId="0">
      <pane xSplit="2" ySplit="2" topLeftCell="AD117" activePane="bottomRight" state="frozen"/>
      <selection pane="topRight" activeCell="C1" sqref="C1"/>
      <selection pane="bottomLeft" activeCell="A3" sqref="A3"/>
      <selection pane="bottomRight" activeCell="AF134" sqref="AF134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5" bestFit="1" customWidth="1"/>
    <col min="43" max="43" width="25.625" style="15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2" t="s">
        <v>223</v>
      </c>
      <c r="AJ5" s="12" t="s">
        <v>589</v>
      </c>
      <c r="AK5" s="12"/>
      <c r="AL5" s="12"/>
      <c r="AM5" s="12"/>
      <c r="AN5" s="12"/>
      <c r="AO5" s="12"/>
      <c r="AP5" s="16"/>
      <c r="AQ5" s="16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2">
        <v>4</v>
      </c>
      <c r="AJ6" s="12">
        <v>25</v>
      </c>
      <c r="AK6" s="12"/>
      <c r="AL6" s="12"/>
      <c r="AM6" s="12"/>
      <c r="AN6" s="12"/>
      <c r="AO6" s="12"/>
      <c r="AP6" s="16"/>
      <c r="AQ6" s="16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2"/>
      <c r="AJ9" s="12"/>
      <c r="AK9" s="12"/>
      <c r="AL9" s="12"/>
      <c r="AM9" s="12"/>
      <c r="AN9" s="12"/>
      <c r="AO9" s="12"/>
      <c r="AP9" s="16"/>
      <c r="AQ9" s="16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2"/>
      <c r="AJ10" s="12"/>
      <c r="AK10" s="12"/>
      <c r="AL10" s="12"/>
      <c r="AM10" s="12"/>
      <c r="AN10" s="12"/>
      <c r="AO10" s="12"/>
      <c r="AP10" s="16"/>
      <c r="AQ10" s="16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5" t="s">
        <v>506</v>
      </c>
      <c r="AQ11" s="15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5">
        <v>0.3</v>
      </c>
      <c r="AQ12" s="15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2"/>
      <c r="AJ13" s="12"/>
      <c r="AK13" s="12"/>
      <c r="AL13" s="12"/>
      <c r="AM13" s="12"/>
      <c r="AN13" s="12"/>
      <c r="AO13" s="12"/>
      <c r="AP13" s="16"/>
      <c r="AQ13" s="16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2"/>
      <c r="AJ14" s="12"/>
      <c r="AK14" s="12"/>
      <c r="AL14" s="12"/>
      <c r="AM14" s="12"/>
      <c r="AN14" s="12"/>
      <c r="AO14" s="12"/>
      <c r="AP14" s="16"/>
      <c r="AQ14" s="16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2" t="s">
        <v>220</v>
      </c>
      <c r="AJ17" s="12" t="s">
        <v>279</v>
      </c>
      <c r="AK17" s="12"/>
      <c r="AL17" s="12"/>
      <c r="AM17" s="12"/>
      <c r="AN17" s="12"/>
      <c r="AO17" s="12"/>
      <c r="AP17" s="16"/>
      <c r="AQ17" s="16"/>
    </row>
    <row r="18" spans="1:43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2">
        <v>200</v>
      </c>
      <c r="AJ18" s="12">
        <v>30</v>
      </c>
      <c r="AK18" s="12"/>
      <c r="AL18" s="12"/>
      <c r="AM18" s="12"/>
      <c r="AN18" s="12"/>
      <c r="AO18" s="12"/>
      <c r="AP18" s="16"/>
      <c r="AQ18" s="16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2" t="s">
        <v>278</v>
      </c>
      <c r="AJ21" s="12" t="s">
        <v>232</v>
      </c>
      <c r="AK21" s="12" t="s">
        <v>293</v>
      </c>
      <c r="AL21" s="12"/>
      <c r="AM21" s="12"/>
      <c r="AN21" s="12"/>
      <c r="AO21" s="12"/>
      <c r="AP21" s="16"/>
      <c r="AQ21" s="16"/>
    </row>
    <row r="22" spans="1:43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2">
        <v>100</v>
      </c>
      <c r="AJ22" s="12">
        <v>0.1</v>
      </c>
      <c r="AK22" s="12">
        <v>15</v>
      </c>
      <c r="AL22" s="12"/>
      <c r="AM22" s="12"/>
      <c r="AN22" s="12"/>
      <c r="AO22" s="12"/>
      <c r="AP22" s="16"/>
      <c r="AQ22" s="16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6"/>
      <c r="AQ25" s="16"/>
    </row>
    <row r="26" spans="1:43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6"/>
      <c r="AQ26" s="16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2"/>
      <c r="AJ29" s="12"/>
      <c r="AK29" s="12"/>
      <c r="AL29" s="12"/>
      <c r="AM29" s="12"/>
      <c r="AN29" s="12"/>
      <c r="AO29" s="12"/>
      <c r="AP29" s="16"/>
      <c r="AQ29" s="16"/>
    </row>
    <row r="30" spans="1:43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2"/>
      <c r="AJ30" s="12"/>
      <c r="AK30" s="12"/>
      <c r="AL30" s="12"/>
      <c r="AM30" s="12"/>
      <c r="AN30" s="12"/>
      <c r="AO30" s="12"/>
      <c r="AP30" s="16"/>
      <c r="AQ30" s="16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2"/>
      <c r="AJ43" s="12"/>
      <c r="AK43" s="12"/>
      <c r="AL43" s="12"/>
      <c r="AM43" s="12"/>
      <c r="AN43" s="12"/>
      <c r="AO43" s="12"/>
      <c r="AP43" s="16"/>
      <c r="AQ43" s="16"/>
    </row>
    <row r="44" spans="1:43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2"/>
      <c r="AJ44" s="12"/>
      <c r="AK44" s="12"/>
      <c r="AL44" s="12"/>
      <c r="AM44" s="12"/>
      <c r="AN44" s="12"/>
      <c r="AO44" s="12"/>
      <c r="AP44" s="16"/>
      <c r="AQ44" s="16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8" t="s">
        <v>481</v>
      </c>
      <c r="AJ75" s="8" t="s">
        <v>510</v>
      </c>
      <c r="AK75" s="8" t="s">
        <v>232</v>
      </c>
      <c r="AL75" s="8" t="s">
        <v>489</v>
      </c>
      <c r="AM75" s="8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8">
        <v>10</v>
      </c>
      <c r="AJ76" s="8">
        <v>80</v>
      </c>
      <c r="AK76" s="8">
        <v>8</v>
      </c>
      <c r="AL76" s="8">
        <v>3</v>
      </c>
      <c r="AM76" s="8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8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8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8" t="s">
        <v>505</v>
      </c>
      <c r="AK81" s="8" t="s">
        <v>511</v>
      </c>
      <c r="AL81" s="8" t="s">
        <v>512</v>
      </c>
      <c r="AM81" s="8" t="s">
        <v>513</v>
      </c>
      <c r="AN81" s="8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8">
        <v>700</v>
      </c>
      <c r="AK82" s="8">
        <v>30</v>
      </c>
      <c r="AL82" s="8">
        <v>0.1</v>
      </c>
      <c r="AM82" s="8">
        <v>0.25</v>
      </c>
      <c r="AN82" s="8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8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8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8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8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8" t="s">
        <v>553</v>
      </c>
      <c r="AL87" s="8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8">
        <v>15</v>
      </c>
      <c r="AL88" s="8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8" t="s">
        <v>525</v>
      </c>
      <c r="AJ91" s="8" t="s">
        <v>318</v>
      </c>
      <c r="AK91" s="8" t="s">
        <v>403</v>
      </c>
      <c r="AL91" s="8" t="s">
        <v>234</v>
      </c>
      <c r="AM91" s="8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8">
        <v>0.92500000000000004</v>
      </c>
      <c r="AJ92" s="8">
        <v>50</v>
      </c>
      <c r="AK92" s="8">
        <v>10</v>
      </c>
      <c r="AL92" s="8">
        <v>80</v>
      </c>
      <c r="AM92" s="8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8" t="s">
        <v>585</v>
      </c>
      <c r="AK95" s="8" t="s">
        <v>584</v>
      </c>
      <c r="AL95" s="8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8">
        <v>800</v>
      </c>
      <c r="AK96" s="8">
        <v>60</v>
      </c>
      <c r="AL96" s="8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8" t="s">
        <v>587</v>
      </c>
      <c r="AK97" s="8" t="s">
        <v>313</v>
      </c>
      <c r="AL97" s="8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8" t="s">
        <v>347</v>
      </c>
      <c r="AK98" s="8">
        <v>4</v>
      </c>
      <c r="AL98" s="8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8" t="s">
        <v>320</v>
      </c>
      <c r="AJ101" s="8" t="s">
        <v>212</v>
      </c>
      <c r="AK101" s="8" t="s">
        <v>581</v>
      </c>
      <c r="AL101" s="8" t="s">
        <v>233</v>
      </c>
      <c r="AM101" s="8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8">
        <v>0.03</v>
      </c>
      <c r="AJ102" s="8">
        <v>40</v>
      </c>
      <c r="AK102" s="8">
        <v>4</v>
      </c>
      <c r="AL102" s="8">
        <v>8</v>
      </c>
      <c r="AM102" s="8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8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8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8" t="s">
        <v>220</v>
      </c>
      <c r="AJ105" s="8" t="s">
        <v>608</v>
      </c>
      <c r="AK105" s="8" t="s">
        <v>609</v>
      </c>
      <c r="AL105" s="8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8">
        <v>900</v>
      </c>
      <c r="AJ106" s="8">
        <v>100</v>
      </c>
      <c r="AK106" s="8">
        <v>30</v>
      </c>
      <c r="AL106" s="8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8" t="s">
        <v>607</v>
      </c>
      <c r="AI107" s="8" t="s">
        <v>320</v>
      </c>
      <c r="AJ107" s="8" t="s">
        <v>288</v>
      </c>
      <c r="AK107" s="8" t="s">
        <v>610</v>
      </c>
      <c r="AL107" s="8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8">
        <v>3</v>
      </c>
      <c r="AI108" s="8">
        <v>0.8</v>
      </c>
      <c r="AJ108" s="8">
        <v>0.4</v>
      </c>
      <c r="AK108" s="8">
        <v>0.05</v>
      </c>
      <c r="AL108" s="8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8" t="s">
        <v>614</v>
      </c>
      <c r="AJ111" s="8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8">
        <v>150</v>
      </c>
      <c r="AJ112" s="8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8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8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8" t="s">
        <v>651</v>
      </c>
      <c r="AJ119" s="8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8">
        <v>300</v>
      </c>
      <c r="AJ120" s="8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41" si="49">"abilities/heroes/"&amp;LEFT(A121,LEN(A121)-2)&amp;"/"&amp;A121</f>
        <v>abilities/heroes/oracle/oracle_4</v>
      </c>
      <c r="E121" s="1" t="str">
        <f t="shared" ref="E121:E14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8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8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8" t="s">
        <v>232</v>
      </c>
      <c r="AJ125" s="8" t="s">
        <v>287</v>
      </c>
      <c r="AK125" s="8" t="s">
        <v>332</v>
      </c>
    </row>
    <row r="126" spans="1:37" x14ac:dyDescent="0.2">
      <c r="AC126" s="8" t="s">
        <v>384</v>
      </c>
      <c r="AD126" s="8" t="s">
        <v>347</v>
      </c>
      <c r="AE126" s="8" t="s">
        <v>682</v>
      </c>
      <c r="AF126" s="8">
        <v>20</v>
      </c>
      <c r="AG126" s="8">
        <v>40</v>
      </c>
      <c r="AH126" s="8">
        <v>500</v>
      </c>
      <c r="AI126" s="8">
        <v>10</v>
      </c>
      <c r="AJ126" s="8">
        <v>0.3</v>
      </c>
      <c r="AK126" s="8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U129" s="1" t="s">
        <v>687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8" t="s">
        <v>677</v>
      </c>
      <c r="AI129" s="8" t="s">
        <v>628</v>
      </c>
      <c r="AJ129" s="8" t="s">
        <v>269</v>
      </c>
      <c r="AK129" s="8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8">
        <v>300</v>
      </c>
      <c r="AI130" s="8" t="s">
        <v>678</v>
      </c>
      <c r="AJ130" s="8" t="s">
        <v>347</v>
      </c>
      <c r="AK130" s="8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8" t="s">
        <v>669</v>
      </c>
      <c r="AJ131" s="8" t="s">
        <v>670</v>
      </c>
      <c r="AK131" s="8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8">
        <v>60</v>
      </c>
      <c r="AJ132" s="8">
        <v>520</v>
      </c>
      <c r="AK132" s="8">
        <v>6</v>
      </c>
    </row>
    <row r="133" spans="1:37" x14ac:dyDescent="0.2">
      <c r="A133" s="1" t="s">
        <v>716</v>
      </c>
      <c r="B133" s="1" t="s">
        <v>707</v>
      </c>
      <c r="C133" s="1" t="s">
        <v>205</v>
      </c>
      <c r="D133" s="1" t="str">
        <f t="shared" si="49"/>
        <v>abilities/heroes/monkey_king/monkey_king_0</v>
      </c>
      <c r="E133" s="1" t="str">
        <f t="shared" si="50"/>
        <v>monkey_king_0</v>
      </c>
      <c r="F133" s="1" t="s">
        <v>206</v>
      </c>
      <c r="I133" s="1">
        <v>1</v>
      </c>
      <c r="W133" s="1" t="s">
        <v>0</v>
      </c>
      <c r="X133" s="1" t="s">
        <v>208</v>
      </c>
      <c r="Y133" s="1" t="s">
        <v>209</v>
      </c>
      <c r="AA133" s="8" t="s">
        <v>324</v>
      </c>
      <c r="AC133" s="8" t="s">
        <v>689</v>
      </c>
      <c r="AD133" s="8" t="s">
        <v>694</v>
      </c>
      <c r="AE133" s="8" t="s">
        <v>293</v>
      </c>
      <c r="AF133" s="8" t="s">
        <v>736</v>
      </c>
    </row>
    <row r="134" spans="1:37" x14ac:dyDescent="0.2">
      <c r="AC134" s="8">
        <v>0.5</v>
      </c>
      <c r="AD134" s="8">
        <v>2</v>
      </c>
      <c r="AE134" s="8" t="s">
        <v>735</v>
      </c>
      <c r="AF134" s="8" t="s">
        <v>737</v>
      </c>
    </row>
    <row r="135" spans="1:37" x14ac:dyDescent="0.2">
      <c r="A135" s="1" t="s">
        <v>712</v>
      </c>
      <c r="B135" s="1" t="s">
        <v>710</v>
      </c>
      <c r="C135" s="1" t="s">
        <v>205</v>
      </c>
      <c r="D135" s="1" t="str">
        <f t="shared" si="49"/>
        <v>abilities/heroes/monkey_king/monkey_king_1</v>
      </c>
      <c r="E135" s="1" t="str">
        <f t="shared" si="50"/>
        <v>monkey_king_1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686</v>
      </c>
      <c r="Q135" s="1">
        <v>10</v>
      </c>
      <c r="U135" s="1" t="s">
        <v>372</v>
      </c>
      <c r="W135" s="1" t="s">
        <v>89</v>
      </c>
      <c r="X135" s="1" t="s">
        <v>208</v>
      </c>
      <c r="Y135" s="1" t="s">
        <v>209</v>
      </c>
      <c r="AA135" s="8" t="s">
        <v>364</v>
      </c>
      <c r="AC135" s="8" t="s">
        <v>219</v>
      </c>
      <c r="AD135" s="8" t="s">
        <v>269</v>
      </c>
      <c r="AE135" s="8" t="s">
        <v>698</v>
      </c>
      <c r="AF135" s="8" t="s">
        <v>220</v>
      </c>
      <c r="AG135" s="8" t="s">
        <v>700</v>
      </c>
      <c r="AH135" s="8" t="s">
        <v>272</v>
      </c>
      <c r="AI135" s="8" t="s">
        <v>232</v>
      </c>
    </row>
    <row r="136" spans="1:37" x14ac:dyDescent="0.2">
      <c r="AC136" s="8" t="s">
        <v>345</v>
      </c>
      <c r="AD136" s="8" t="s">
        <v>354</v>
      </c>
      <c r="AE136" s="8" t="s">
        <v>347</v>
      </c>
      <c r="AF136" s="8">
        <v>350</v>
      </c>
      <c r="AG136" s="8" t="s">
        <v>720</v>
      </c>
      <c r="AH136" s="8" t="s">
        <v>717</v>
      </c>
      <c r="AI136" s="8">
        <v>4</v>
      </c>
    </row>
    <row r="137" spans="1:37" x14ac:dyDescent="0.2">
      <c r="A137" s="1" t="s">
        <v>713</v>
      </c>
      <c r="B137" s="1" t="s">
        <v>711</v>
      </c>
      <c r="C137" s="1" t="s">
        <v>205</v>
      </c>
      <c r="D137" s="1" t="str">
        <f t="shared" si="49"/>
        <v>abilities/heroes/monkey_king/monkey_king_2</v>
      </c>
      <c r="E137" s="1" t="str">
        <f t="shared" si="50"/>
        <v>monkey_king_2</v>
      </c>
      <c r="F137" s="1" t="s">
        <v>206</v>
      </c>
      <c r="I137" s="1">
        <v>20</v>
      </c>
      <c r="J137" s="1">
        <v>1</v>
      </c>
      <c r="K137" s="1">
        <v>3</v>
      </c>
      <c r="Q137" s="1">
        <v>16</v>
      </c>
      <c r="U137" s="1" t="s">
        <v>372</v>
      </c>
      <c r="W137" s="1" t="s">
        <v>88</v>
      </c>
      <c r="X137" s="1" t="s">
        <v>208</v>
      </c>
      <c r="Y137" s="1" t="s">
        <v>209</v>
      </c>
      <c r="AA137" s="8" t="s">
        <v>210</v>
      </c>
      <c r="AC137" s="8" t="s">
        <v>690</v>
      </c>
      <c r="AD137" s="8" t="s">
        <v>695</v>
      </c>
      <c r="AE137" s="8" t="s">
        <v>232</v>
      </c>
      <c r="AF137" s="8" t="s">
        <v>549</v>
      </c>
      <c r="AG137" s="8" t="s">
        <v>220</v>
      </c>
      <c r="AH137" s="8" t="s">
        <v>611</v>
      </c>
      <c r="AI137" s="8" t="s">
        <v>278</v>
      </c>
    </row>
    <row r="138" spans="1:37" x14ac:dyDescent="0.2">
      <c r="AC138" s="8" t="s">
        <v>691</v>
      </c>
      <c r="AD138" s="8" t="s">
        <v>696</v>
      </c>
      <c r="AE138" s="8" t="s">
        <v>722</v>
      </c>
      <c r="AF138" s="8" t="s">
        <v>723</v>
      </c>
      <c r="AG138" s="8">
        <v>600</v>
      </c>
      <c r="AH138" s="8" t="s">
        <v>721</v>
      </c>
      <c r="AI138" s="8" t="s">
        <v>724</v>
      </c>
    </row>
    <row r="139" spans="1:37" x14ac:dyDescent="0.2">
      <c r="A139" s="1" t="s">
        <v>714</v>
      </c>
      <c r="B139" s="1" t="s">
        <v>708</v>
      </c>
      <c r="C139" s="1" t="s">
        <v>205</v>
      </c>
      <c r="D139" s="1" t="str">
        <f t="shared" si="49"/>
        <v>abilities/heroes/monkey_king/monkey_king_3</v>
      </c>
      <c r="E139" s="1" t="str">
        <f t="shared" si="50"/>
        <v>monkey_king_3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685</v>
      </c>
      <c r="Q139" s="1">
        <v>20</v>
      </c>
      <c r="U139" s="1" t="s">
        <v>688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729</v>
      </c>
      <c r="AD139" s="8" t="s">
        <v>704</v>
      </c>
      <c r="AE139" s="8" t="s">
        <v>232</v>
      </c>
      <c r="AF139" s="8" t="s">
        <v>728</v>
      </c>
      <c r="AG139" s="8" t="s">
        <v>550</v>
      </c>
      <c r="AH139" s="8" t="s">
        <v>233</v>
      </c>
      <c r="AI139" s="8" t="s">
        <v>582</v>
      </c>
      <c r="AJ139" s="8" t="s">
        <v>733</v>
      </c>
      <c r="AK139" s="8" t="s">
        <v>734</v>
      </c>
    </row>
    <row r="140" spans="1:37" x14ac:dyDescent="0.2">
      <c r="AC140" s="8" t="s">
        <v>726</v>
      </c>
      <c r="AD140" s="8" t="s">
        <v>705</v>
      </c>
      <c r="AE140" s="8" t="s">
        <v>706</v>
      </c>
      <c r="AF140" s="8" t="s">
        <v>722</v>
      </c>
      <c r="AG140" s="8" t="s">
        <v>725</v>
      </c>
      <c r="AH140" s="8" t="s">
        <v>727</v>
      </c>
      <c r="AI140" s="8" t="s">
        <v>732</v>
      </c>
      <c r="AJ140" s="8" t="s">
        <v>722</v>
      </c>
      <c r="AK140" s="8" t="s">
        <v>681</v>
      </c>
    </row>
    <row r="141" spans="1:37" x14ac:dyDescent="0.2">
      <c r="A141" s="1" t="s">
        <v>715</v>
      </c>
      <c r="B141" s="1" t="s">
        <v>709</v>
      </c>
      <c r="C141" s="1" t="s">
        <v>205</v>
      </c>
      <c r="D141" s="1" t="str">
        <f t="shared" si="49"/>
        <v>abilities/heroes/monkey_king/monkey_king_4</v>
      </c>
      <c r="E141" s="1" t="str">
        <f t="shared" si="50"/>
        <v>monkey_king_4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686</v>
      </c>
      <c r="M141" s="1">
        <v>1200</v>
      </c>
      <c r="Q141" s="1">
        <v>60</v>
      </c>
      <c r="U141" s="1" t="s">
        <v>502</v>
      </c>
      <c r="W141" s="1" t="s">
        <v>308</v>
      </c>
      <c r="X141" s="1" t="s">
        <v>208</v>
      </c>
      <c r="Y141" s="1" t="s">
        <v>209</v>
      </c>
      <c r="AA141" s="8" t="s">
        <v>364</v>
      </c>
      <c r="AC141" s="8" t="s">
        <v>692</v>
      </c>
      <c r="AD141" s="8" t="s">
        <v>697</v>
      </c>
      <c r="AE141" s="8" t="s">
        <v>699</v>
      </c>
      <c r="AF141" s="8" t="s">
        <v>701</v>
      </c>
      <c r="AG141" s="8" t="s">
        <v>702</v>
      </c>
      <c r="AH141" s="8" t="s">
        <v>703</v>
      </c>
      <c r="AI141" s="8" t="s">
        <v>730</v>
      </c>
      <c r="AJ141" s="8" t="s">
        <v>234</v>
      </c>
      <c r="AK141" s="8" t="s">
        <v>235</v>
      </c>
    </row>
    <row r="142" spans="1:37" x14ac:dyDescent="0.2">
      <c r="AC142" s="8" t="s">
        <v>693</v>
      </c>
      <c r="AD142" s="8">
        <v>1200</v>
      </c>
      <c r="AE142" s="8">
        <v>1</v>
      </c>
      <c r="AF142" s="8" t="s">
        <v>640</v>
      </c>
      <c r="AG142" s="8">
        <v>400</v>
      </c>
      <c r="AH142" s="8">
        <v>4</v>
      </c>
      <c r="AI142" s="8" t="s">
        <v>731</v>
      </c>
      <c r="AJ142" s="8" t="s">
        <v>725</v>
      </c>
      <c r="AK142" s="8" t="s">
        <v>680</v>
      </c>
    </row>
  </sheetData>
  <phoneticPr fontId="1" type="noConversion"/>
  <conditionalFormatting sqref="A3:XFD10000">
    <cfRule type="expression" dxfId="2" priority="82">
      <formula>MOD(ROW(A4),2)=0</formula>
    </cfRule>
    <cfRule type="expression" dxfId="1" priority="83">
      <formula>MOD(ROW(A4),4)&lt;2</formula>
    </cfRule>
    <cfRule type="expression" dxfId="0" priority="86">
      <formula>MOD(ROW(A6),4)&lt;2</formula>
    </cfRule>
  </conditionalFormatting>
  <conditionalFormatting sqref="A3:Z10000">
    <cfRule type="expression" dxfId="10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9" priority="16"/>
  </conditionalFormatting>
  <conditionalFormatting sqref="B1:C42">
    <cfRule type="duplicateValues" dxfId="8" priority="3"/>
  </conditionalFormatting>
  <conditionalFormatting sqref="B43:C43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07223-5416-4B00-9AD0-D80A91786BDA}">
  <sheetPr codeName="Sheet3"/>
  <dimension ref="A1:AR132"/>
  <sheetViews>
    <sheetView workbookViewId="0">
      <pane xSplit="2" ySplit="2" topLeftCell="K83" activePane="bottomRight" state="frozen"/>
      <selection pane="topRight" activeCell="C1" sqref="C1"/>
      <selection pane="bottomLeft" activeCell="A3" sqref="A3"/>
      <selection pane="bottomRight" activeCell="Q130" sqref="Q130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  <c r="AL87" s="10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  <c r="AL88" s="10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  <c r="AM91" s="10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  <c r="AM92" s="10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682</v>
      </c>
      <c r="AF126" s="8">
        <v>20</v>
      </c>
      <c r="AG126" s="8" t="s">
        <v>683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U129" s="1" t="s">
        <v>684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10" t="s">
        <v>677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>
        <v>300</v>
      </c>
      <c r="AI130" s="10" t="s">
        <v>678</v>
      </c>
      <c r="AJ130" s="10" t="s">
        <v>347</v>
      </c>
      <c r="AK130" s="10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10" t="s">
        <v>669</v>
      </c>
      <c r="AJ131" s="10" t="s">
        <v>670</v>
      </c>
      <c r="AK131" s="10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>
        <v>6</v>
      </c>
    </row>
  </sheetData>
  <phoneticPr fontId="1" type="noConversion"/>
  <conditionalFormatting sqref="A3:XFD10000">
    <cfRule type="expression" dxfId="6" priority="2">
      <formula>MOD(ROW(A4),2)=0</formula>
    </cfRule>
    <cfRule type="expression" dxfId="5" priority="3">
      <formula>MOD(ROW(A4),4)&lt;2</formula>
    </cfRule>
    <cfRule type="expression" dxfId="4" priority="4">
      <formula>MOD(ROW(A6),4)&lt;2</formula>
    </cfRule>
  </conditionalFormatting>
  <conditionalFormatting sqref="A3:Z10000">
    <cfRule type="expression" dxfId="3" priority="1">
      <formula>AND(ISBLANK(A3)=FALSE,MOD(ROW(),2)=0)</formula>
    </cfRule>
  </conditionalFormatting>
  <dataValidations count="1">
    <dataValidation type="list" allowBlank="1" showInputMessage="1" showErrorMessage="1" sqref="C3:C1048576" xr:uid="{B008DFA4-1FA1-4D43-91D9-50E61CE351FB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189601-CDBE-4DBC-9E49-E35C9018EE04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2021-05-04T16:10:03Z</dcterms:modified>
</cp:coreProperties>
</file>