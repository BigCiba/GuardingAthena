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601AD7F4-A7F8-4795-967B-C744E65621DB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16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3" i="1" l="1"/>
  <c r="E125" i="1"/>
  <c r="E127" i="1"/>
  <c r="E129" i="1"/>
  <c r="E131" i="1"/>
  <c r="D123" i="1"/>
  <c r="D125" i="1"/>
  <c r="D127" i="1"/>
  <c r="D129" i="1"/>
  <c r="D131" i="1"/>
  <c r="E121" i="16"/>
  <c r="D121" i="16"/>
  <c r="E119" i="16"/>
  <c r="D119" i="16"/>
  <c r="E117" i="16"/>
  <c r="D117" i="16"/>
  <c r="E115" i="16"/>
  <c r="D115" i="16"/>
  <c r="E113" i="16"/>
  <c r="D113" i="16"/>
  <c r="E111" i="16"/>
  <c r="D111" i="16"/>
  <c r="E109" i="16"/>
  <c r="D109" i="16"/>
  <c r="E107" i="16"/>
  <c r="D107" i="16"/>
  <c r="E105" i="16"/>
  <c r="D105" i="16"/>
  <c r="E103" i="16"/>
  <c r="D103" i="16"/>
  <c r="E101" i="16"/>
  <c r="D101" i="16"/>
  <c r="E99" i="16"/>
  <c r="D99" i="16"/>
  <c r="E97" i="16"/>
  <c r="D97" i="16"/>
  <c r="E95" i="16"/>
  <c r="D95" i="16"/>
  <c r="E93" i="16"/>
  <c r="D93" i="16"/>
  <c r="E91" i="16"/>
  <c r="D91" i="16"/>
  <c r="E89" i="16"/>
  <c r="D89" i="16"/>
  <c r="E87" i="16"/>
  <c r="D87" i="16"/>
  <c r="E85" i="16"/>
  <c r="D85" i="16"/>
  <c r="E83" i="16"/>
  <c r="D83" i="16"/>
  <c r="E81" i="16"/>
  <c r="D81" i="16"/>
  <c r="E79" i="16"/>
  <c r="D79" i="16"/>
  <c r="E77" i="16"/>
  <c r="D77" i="16"/>
  <c r="E75" i="16"/>
  <c r="D75" i="16"/>
  <c r="E73" i="16"/>
  <c r="D73" i="16"/>
  <c r="E71" i="16"/>
  <c r="E69" i="16"/>
  <c r="D69" i="16"/>
  <c r="E67" i="16"/>
  <c r="D67" i="16"/>
  <c r="E65" i="16"/>
  <c r="D65" i="16"/>
  <c r="E63" i="16"/>
  <c r="D63" i="16"/>
  <c r="E61" i="16"/>
  <c r="D61" i="16"/>
  <c r="E59" i="16"/>
  <c r="E57" i="16"/>
  <c r="D57" i="16"/>
  <c r="E55" i="16"/>
  <c r="D55" i="16"/>
  <c r="E53" i="16"/>
  <c r="D53" i="16"/>
  <c r="E51" i="16"/>
  <c r="D51" i="16"/>
  <c r="E49" i="16"/>
  <c r="D49" i="16"/>
  <c r="D47" i="16"/>
  <c r="D45" i="16"/>
  <c r="D43" i="16"/>
  <c r="D41" i="16"/>
  <c r="D39" i="16"/>
  <c r="E21" i="16"/>
  <c r="D21" i="16"/>
  <c r="E19" i="16"/>
  <c r="D19" i="16"/>
  <c r="E17" i="16"/>
  <c r="D17" i="16"/>
  <c r="E15" i="16"/>
  <c r="D15" i="16"/>
  <c r="E13" i="16"/>
  <c r="D13" i="16"/>
  <c r="E11" i="16"/>
  <c r="D11" i="16"/>
  <c r="E9" i="16"/>
  <c r="D9" i="16"/>
  <c r="E7" i="16"/>
  <c r="D7" i="16"/>
  <c r="E5" i="16"/>
  <c r="D5" i="16"/>
  <c r="E3" i="16"/>
  <c r="D3" i="16"/>
  <c r="E113" i="1" l="1"/>
  <c r="E115" i="1"/>
  <c r="E117" i="1"/>
  <c r="E119" i="1"/>
  <c r="E121" i="1"/>
  <c r="D113" i="1"/>
  <c r="D115" i="1"/>
  <c r="D117" i="1"/>
  <c r="D119" i="1"/>
  <c r="D121" i="1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<sst xmlns="http://schemas.openxmlformats.org/spreadsheetml/2006/main" count="2645" uniqueCount="673">
  <si>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</si>
  <si>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</si>
  <si>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</si>
  <si>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</si>
  <si>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</si>
  <si>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</si>
  <si>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</si>
  <si>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</si>
  <si>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</si>
  <si>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</si>
  <si>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</si>
  <si>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</si>
  <si>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</si>
  <si>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</si>
  <si>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</si>
  <si>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</si>
  <si>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</si>
  <si>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</si>
  <si>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</si>
  <si>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</si>
  <si>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</si>
  <si>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</si>
  <si>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</si>
  <si>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</si>
  <si>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</si>
  <si>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</si>
  <si>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</si>
  <si>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</si>
  <si>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</si>
  <si>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</si>
  <si>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</si>
  <si>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</si>
  <si>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</si>
  <si>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</si>
  <si>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</si>
  <si>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</si>
  <si>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</si>
  <si>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</si>
  <si>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</si>
  <si>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</si>
  <si>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</si>
  <si>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</si>
  <si>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</si>
  <si>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</si>
  <si>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</si>
  <si>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</si>
  <si>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</si>
  <si>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</si>
  <si>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</si>
  <si>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</si>
  <si>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</si>
  <si>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</si>
  <si>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</si>
  <si>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</si>
  <si>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</si>
  <si>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</si>
  <si>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</si>
  <si>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</si>
  <si>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</si>
  <si>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</si>
  <si>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</si>
  <si>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</si>
  <si>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</si>
  <si>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</si>
  <si>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</si>
  <si>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</si>
  <si>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</si>
  <si>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</si>
  <si>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</si>
  <si>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</si>
  <si>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</si>
  <si>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</si>
  <si>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</si>
  <si>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</si>
  <si>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</si>
  <si>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</si>
  <si>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</si>
  <si>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</si>
  <si>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</si>
  <si>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</si>
  <si>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</si>
  <si>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</si>
  <si>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</si>
  <si>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</si>
  <si>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</si>
  <si>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</si>
  <si>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</si>
  <si>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</si>
  <si>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</si>
  <si>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</si>
  <si>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</si>
  <si>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</si>
  <si>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</si>
  <si>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</si>
  <si>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</si>
  <si>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</si>
  <si>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</si>
  <si>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</si>
  <si>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</si>
  <si>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</si>
  <si>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</si>
  <si>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</si>
  <si>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</si>
  <si>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</si>
  <si>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</si>
  <si>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</si>
  <si>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</si>
  <si>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</si>
  <si>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</si>
  <si>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</si>
  <si>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</si>
  <si>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</si>
  <si>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</si>
  <si>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</si>
  <si>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</si>
  <si>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</si>
  <si>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</si>
  <si>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</si>
  <si>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</si>
  <si>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</si>
  <si>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</si>
  <si>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</si>
  <si>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</si>
  <si>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</si>
  <si>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</si>
  <si>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</si>
  <si>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</si>
  <si>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</si>
  <si>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</si>
  <si>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</si>
  <si>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</si>
  <si>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</si>
  <si>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</si>
  <si>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</si>
  <si>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</si>
  <si>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</si>
  <si>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</si>
  <si>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</si>
  <si>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</si>
  <si>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</si>
  <si>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</si>
  <si>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</si>
  <si>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</si>
  <si>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</si>
  <si>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</si>
  <si>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</si>
  <si>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</si>
  <si>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</si>
  <si>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</si>
  <si>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</si>
  <si>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</si>
  <si>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</si>
  <si>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</si>
  <si>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</si>
  <si>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</si>
  <si>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</si>
  <si>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</si>
  <si>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</si>
  <si>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</si>
  <si>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</si>
  <si>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</si>
  <si>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</si>
  <si>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</si>
  <si>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</si>
  <si>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</si>
  <si>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</si>
  <si>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</si>
  <si>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</si>
  <si>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</si>
  <si>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</si>
  <si>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</si>
  <si>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</si>
  <si>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</si>
  <si>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</si>
  <si>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</si>
  <si>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</si>
  <si>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</si>
  <si>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</si>
  <si>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</si>
  <si>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</si>
  <si>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</si>
  <si>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</si>
  <si>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</si>
  <si>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</si>
  <si>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</si>
  <si>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</si>
  <si>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</si>
  <si>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</si>
  <si>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</si>
  <si>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</si>
  <si>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</si>
  <si>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</si>
  <si>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</si>
  <si>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</si>
  <si>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</si>
  <si>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</si>
  <si>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</si>
  <si>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</si>
  <si>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</si>
  <si>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</si>
  <si>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</si>
  <si>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</si>
  <si>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</si>
  <si>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</si>
  <si>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</si>
  <si>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</si>
  <si>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</si>
  <si>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</si>
  <si>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</si>
  <si>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</si>
  <si>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</si>
  <si>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</si>
  <si>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</si>
  <si>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</si>
  <si>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</si>
  <si>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</si>
  <si>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</si>
  <si>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</si>
  <si>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</si>
  <si>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</si>
  <si>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</si>
  <si>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</si>
  <si>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</si>
  <si>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</si>
  <si>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</si>
  <si>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</si>
  <si>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</si>
  <si>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</si>
  <si>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</si>
  <si>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</si>
  <si>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</si>
  <si>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</si>
  <si>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</si>
  <si>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</si>
  <si>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</si>
  <si>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</si>
  <si>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</si>
  <si>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</si>
  <si>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</si>
  <si>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</si>
  <si>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</si>
  <si>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</si>
  <si>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</si>
  <si>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</si>
  <si>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</si>
  <si>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</si>
  <si>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</si>
  <si>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</si>
  <si>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</si>
  <si>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</si>
  <si>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</si>
  <si>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</si>
  <si>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</si>
  <si>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</si>
  <si>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</si>
  <si>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</si>
  <si>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</si>
  <si>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</si>
  <si>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</si>
  <si>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</si>
  <si>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</si>
  <si>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</si>
  <si>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</si>
  <si>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</si>
  <si>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</si>
  <si>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</si>
  <si>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</si>
  <si>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</si>
  <si>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</si>
  <si>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</si>
  <si>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</si>
  <si>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</si>
  <si>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</si>
  <si>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</si>
  <si>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</si>
  <si>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</si>
  <si>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</si>
  <si>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</si>
  <si>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</si>
  <si>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</si>
  <si>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</si>
  <si>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</si>
  <si>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</si>
  <si>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</si>
  <si>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</si>
  <si>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</si>
  <si>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</si>
  <si>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</si>
  <si>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</si>
  <si>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</si>
  <si>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</si>
  <si>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</si>
  <si>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</si>
  <si>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</si>
  <si>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</si>
  <si>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</si>
  <si>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</si>
  <si>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</si>
  <si>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</si>
  <si>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</si>
  <si>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</si>
  <si>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</si>
  <si>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</si>
  <si>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</si>
  <si>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</si>
  <si>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</si>
  <si>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</si>
  <si>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</si>
  <si>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</si>
  <si>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</si>
  <si>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</si>
  <si>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</si>
  <si>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</si>
  <si>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</si>
  <si>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</si>
  <si>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</si>
  <si>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</si>
  <si>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</si>
  <si>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</si>
  <si>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</si>
  <si>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</si>
  <si>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</si>
  <si>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</si>
  <si>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</si>
  <si>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</si>
  <si>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</si>
  <si>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</si>
  <si>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</si>
  <si>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</si>
  <si>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</si>
  <si>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</si>
  <si>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</si>
  <si>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</si>
  <si>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</si>
  <si>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</si>
  <si>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</si>
  <si>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</si>
  <si>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</si>
  <si>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</si>
  <si>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</si>
  <si>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</si>
  <si>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</si>
  <si>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</si>
  <si>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</si>
  <si>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</si>
  <si>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</si>
  <si>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</si>
  <si>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</si>
  <si>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</si>
  <si>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</si>
  <si>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</si>
  <si>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</si>
  <si>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</si>
  <si>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</si>
  <si>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</si>
  <si>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</si>
  <si>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</si>
  <si>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</si>
  <si>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</si>
  <si>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</si>
  <si>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</si>
  <si>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</si>
  <si>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</si>
  <si>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</si>
  <si>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</si>
  <si>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</si>
  <si>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</si>
  <si>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</si>
  <si>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</si>
  <si>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</si>
  <si>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</si>
  <si>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</si>
  <si>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</si>
  <si>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</si>
  <si>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</si>
  <si>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</si>
  <si>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</si>
  <si>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</si>
  <si>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</si>
  <si>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</si>
  <si>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</si>
  <si>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</si>
  <si>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</si>
  <si>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</si>
  <si>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</si>
  <si>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</si>
  <si>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</si>
  <si>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</si>
  <si>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</si>
  <si>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</si>
  <si>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</si>
  <si>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</si>
  <si>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</si>
  <si>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</si>
  <si>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</si>
  <si>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</si>
  <si>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</si>
  <si>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</si>
  <si>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</si>
  <si>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</si>
  <si>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</si>
  <si>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</si>
  <si>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</si>
  <si>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</si>
  <si>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</si>
  <si>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</si>
  <si>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</si>
  <si>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</si>
  <si>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</si>
  <si>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</si>
  <si>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</si>
  <si>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</si>
  <si>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</si>
  <si>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</si>
  <si>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</si>
  <si>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</si>
  <si>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</si>
  <si>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</si>
  <si>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</si>
  <si>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</si>
  <si>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</si>
  <si>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</si>
  <si>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</si>
  <si>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</si>
  <si>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</si>
  <si>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</si>
  <si>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</si>
  <si>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</si>
  <si>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</si>
  <si>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</si>
  <si>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</si>
  <si>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</si>
  <si>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</si>
  <si>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</si>
  <si>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</si>
  <si>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</si>
  <si>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</si>
  <si>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</si>
  <si>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</si>
  <si>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</si>
  <si>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</si>
  <si>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</si>
  <si>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</si>
  <si>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</si>
  <si>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</si>
  <si>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</si>
  <si>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</si>
  <si>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</si>
  <si>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</si>
  <si>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</si>
  <si>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</si>
  <si>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</si>
  <si>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</si>
  <si>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</si>
  <si>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</si>
  <si>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</si>
  <si>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</si>
  <si>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</si>
  <si>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</si>
  <si>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</si>
  <si>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</si>
  <si>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</si>
  <si>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</si>
  <si>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</si>
  <si>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</si>
  <si>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</si>
  <si>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</si>
  <si>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</si>
  <si>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</si>
  <si>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</si>
  <si>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</si>
  <si>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</si>
  <si>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</si>
  <si>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</si>
  <si>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</si>
  <si>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</si>
  <si>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</si>
  <si>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</si>
  <si>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</si>
  <si>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</si>
  <si>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</si>
  <si>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</si>
  <si>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</si>
  <si>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</si>
  <si>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</si>
  <si>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</si>
  <si>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</si>
  <si>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</si>
  <si>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</si>
  <si>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</si>
  <si>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</si>
  <si>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</si>
  <si>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</si>
  <si>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</si>
  <si>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</si>
  <si>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</si>
  <si>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</si>
  <si>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</si>
  <si>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</si>
  <si>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</si>
  <si>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</si>
  <si>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</si>
  <si>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</si>
  <si>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</si>
  <si>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</si>
  <si>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</si>
  <si>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</si>
  <si>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</si>
  <si>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</si>
  <si>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</si>
  <si>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</si>
  <si>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</si>
  <si>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</si>
  <si>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</si>
  <si>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</si>
  <si>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</si>
  <si>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</si>
  <si>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</si>
  <si>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</si>
  <si>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</si>
  <si>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</si>
  <si>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</si>
  <si>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</si>
  <si>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</si>
  <si>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</si>
  <si>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</si>
  <si>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</si>
  <si>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</si>
  <si>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</si>
  <si>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</si>
  <si>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</si>
  <si>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</si>
  <si>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</si>
  <si>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</si>
  <si>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</si>
  <si>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</si>
  <si>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</si>
  <si>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</si>
  <si>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</si>
  <si>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</si>
  <si>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</si>
  <si>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</si>
  <si>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</si>
  <si>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</si>
  <si>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</si>
  <si>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</si>
  <si>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</si>
  <si>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</si>
  <si>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</si>
  <si>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</si>
  <si>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</si>
  <si>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</si>
  <si>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</si>
  <si>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</si>
  <si>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</si>
  <si>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</si>
  <si>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</si>
  <si>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</si>
  <si>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</si>
  <si>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</si>
  <si>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</si>
  <si>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</si>
  <si>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</si>
  <si>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</si>
  <si>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</si>
  <si>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</si>
  <si>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</si>
  <si>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</si>
  <si>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</si>
  <si>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</si>
  <si>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</si>
  <si>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</si>
  <si>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</si>
  <si>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</si>
  <si>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</si>
  <si>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</si>
  <si>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</si>
  <si>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</si>
  <si>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</si>
  <si>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</si>
  <si>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</si>
  <si>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</si>
  <si>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</si>
  <si>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</si>
  <si>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</si>
  <si>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</si>
  <si>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</si>
  <si>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</si>
  <si>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</si>
  <si>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</si>
  <si>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</si>
  <si>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</si>
  <si>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</si>
  <si>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</si>
  <si>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</si>
  <si>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</si>
  <si>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</si>
  <si>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</si>
  <si>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</si>
  <si>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</si>
  <si>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</si>
  <si>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</si>
  <si>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</si>
  <si>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</si>
  <si>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</si>
  <si>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</si>
  <si>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</si>
  <si>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</si>
  <si>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</si>
  <si>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</si>
  <si>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</si>
  <si>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</si>
  <si>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</si>
  <si>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</si>
  <si>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</si>
  <si>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</si>
  <si>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</si>
  <si>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</si>
  <si>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</si>
  <si>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</si>
  <si>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</si>
  <si>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</si>
  <si>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</si>
  <si>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</si>
  <si>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</si>
  <si>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</si>
  <si>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</si>
  <si>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</si>
  <si>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</si>
  <si>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</si>
  <si>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</si>
  <si>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</si>
  <si>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</si>
  <si>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</si>
  <si>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</si>
  <si>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</si>
  <si>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</si>
  <si>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</si>
  <si>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</si>
  <si>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</si>
  <si>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</si>
  <si>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</si>
  <si>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</si>
  <si>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</si>
  <si>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</si>
  <si>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</si>
  <si>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</si>
  <si>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</si>
  <si>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</si>
  <si>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</si>
  <si>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</si>
  <si>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</si>
  <si>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</si>
  <si>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-27.5 -30 -32.5 -35 -37.5 -40 -42.5 -45 -47.5 -50 -52.5 -55 -57.5 -60 -62.5 -65 -67.5 -70 -72.5 -75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</si>
  <si>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</si>
  <si>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</si>
  <si>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</si>
  <si>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</si>
  <si>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</si>
  <si>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</si>
  <si>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</si>
  <si>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</si>
  <si>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</si>
  <si>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</si>
  <si>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</si>
  <si>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500</t>
    <phoneticPr fontId="1" type="noConversion"/>
  </si>
  <si>
    <t>base_shield</t>
    <phoneticPr fontId="1" type="noConversion"/>
  </si>
  <si>
    <t>shield_per_attack</t>
    <phoneticPr fontId="1" type="noConversion"/>
  </si>
  <si>
    <t>4</t>
    <phoneticPr fontId="1" type="noConversion"/>
  </si>
  <si>
    <t>10</t>
    <phoneticPr fontId="1" type="noConversion"/>
  </si>
  <si>
    <t>0.5</t>
    <phoneticPr fontId="1" type="noConversion"/>
  </si>
  <si>
    <t>6</t>
    <phoneticPr fontId="1" type="noConversion"/>
  </si>
  <si>
    <t>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</si>
</sst>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31"/>
  <sheetViews>
    <sheetView tabSelected="1" workbookViewId="0">
      <pane xSplit="2" ySplit="2" topLeftCell="AF92" activePane="bottomRight" state="frozen"/>
      <selection pane="topRight" activeCell="C1" sqref="C1"/>
      <selection pane="bottomLeft" activeCell="A3" sqref="A3"/>
      <selection pane="bottomRight" activeCell="AG128" sqref="AG128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654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31" si="49">"abilities/heroes/"&amp;LEFT(A121,LEN(A121)-2)&amp;"/"&amp;A121</f>
        <v>abilities/heroes/oracle/oracle_4</v>
      </c>
      <c r="E121" s="1" t="str">
        <f t="shared" ref="E121:E13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  <row r="123" spans="1:37" x14ac:dyDescent="0.2">
      <c r="A123" s="1" t="s">
        <v>655</v>
      </c>
      <c r="B123" s="1" t="s">
        <v>660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Q123" s="1">
        <v>5</v>
      </c>
      <c r="U123" s="1">
        <v>50</v>
      </c>
      <c r="W123" s="1" t="s">
        <v>308</v>
      </c>
      <c r="X123" s="1" t="s">
        <v>208</v>
      </c>
      <c r="Y123" s="1" t="s">
        <v>209</v>
      </c>
      <c r="Z123" s="1" t="s">
        <v>524</v>
      </c>
      <c r="AA123" s="8" t="s">
        <v>210</v>
      </c>
    </row>
    <row r="125" spans="1:37" x14ac:dyDescent="0.2">
      <c r="A125" s="1" t="s">
        <v>656</v>
      </c>
      <c r="B125" s="1" t="s">
        <v>661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Q125" s="1">
        <v>10</v>
      </c>
      <c r="U125" s="1" t="s">
        <v>307</v>
      </c>
      <c r="W125" s="1" t="s">
        <v>88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666</v>
      </c>
      <c r="AF125" s="8" t="s">
        <v>633</v>
      </c>
      <c r="AG125" s="8" t="s">
        <v>667</v>
      </c>
      <c r="AH125" s="8" t="s">
        <v>220</v>
      </c>
      <c r="AI125" s="10" t="s">
        <v>232</v>
      </c>
      <c r="AJ125" s="10" t="s">
        <v>287</v>
      </c>
      <c r="AK125" s="10" t="s">
        <v>332</v>
      </c>
    </row>
    <row r="126" spans="1:37" x14ac:dyDescent="0.2">
      <c r="AC126" s="8" t="s">
        <v>384</v>
      </c>
      <c r="AD126" s="8" t="s">
        <v>347</v>
      </c>
      <c r="AE126" s="8" t="s">
        <v>384</v>
      </c>
      <c r="AF126" s="8" t="s">
        <v>672</v>
      </c>
      <c r="AG126" s="8" t="s">
        <v>668</v>
      </c>
      <c r="AH126" s="8" t="s">
        <v>665</v>
      </c>
      <c r="AI126" s="10" t="s">
        <v>669</v>
      </c>
      <c r="AJ126" s="10" t="s">
        <v>670</v>
      </c>
      <c r="AK126" s="10" t="s">
        <v>671</v>
      </c>
    </row>
    <row r="127" spans="1:37" x14ac:dyDescent="0.2">
      <c r="A127" s="1" t="s">
        <v>657</v>
      </c>
      <c r="B127" s="1" t="s">
        <v>662</v>
      </c>
      <c r="C127" s="1" t="s">
        <v>205</v>
      </c>
      <c r="D127" s="1" t="str">
        <f t="shared" si="49"/>
        <v>abilities/heroes/void_spirit/void_spirit_2</v>
      </c>
      <c r="E127" s="1" t="str">
        <f t="shared" si="50"/>
        <v>void_spirit_2</v>
      </c>
      <c r="F127" s="1" t="s">
        <v>206</v>
      </c>
      <c r="I127" s="1">
        <v>20</v>
      </c>
      <c r="J127" s="1">
        <v>1</v>
      </c>
      <c r="K127" s="1">
        <v>3</v>
      </c>
      <c r="Q127" s="1">
        <v>8</v>
      </c>
      <c r="U127" s="1" t="s">
        <v>218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</row>
    <row r="129" spans="1:27" x14ac:dyDescent="0.2">
      <c r="A129" s="1" t="s">
        <v>658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 t="shared" si="50"/>
        <v>void_spirit_3</v>
      </c>
      <c r="F129" s="1" t="s">
        <v>206</v>
      </c>
      <c r="I129" s="1">
        <v>20</v>
      </c>
      <c r="J129" s="1">
        <v>1</v>
      </c>
      <c r="K129" s="1">
        <v>3</v>
      </c>
      <c r="Q129" s="1">
        <v>20</v>
      </c>
      <c r="U129" s="1" t="s">
        <v>218</v>
      </c>
      <c r="W129" s="1" t="s">
        <v>88</v>
      </c>
      <c r="X129" s="1" t="s">
        <v>208</v>
      </c>
      <c r="Y129" s="1" t="s">
        <v>209</v>
      </c>
      <c r="Z129" s="1" t="s">
        <v>524</v>
      </c>
      <c r="AA129" s="8" t="s">
        <v>210</v>
      </c>
    </row>
    <row r="131" spans="1:27" x14ac:dyDescent="0.2">
      <c r="A131" s="1" t="s">
        <v>659</v>
      </c>
      <c r="B131" s="1" t="s">
        <v>664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O131" s="1">
        <v>2</v>
      </c>
      <c r="P131" s="1">
        <v>12</v>
      </c>
      <c r="U131" s="1" t="s">
        <v>502</v>
      </c>
      <c r="W131" s="1" t="s">
        <v>89</v>
      </c>
      <c r="X131" s="1" t="s">
        <v>208</v>
      </c>
      <c r="Y131" s="1" t="s">
        <v>209</v>
      </c>
      <c r="Z131" s="1" t="s">
        <v>524</v>
      </c>
      <c r="AA131" s="8" t="s">
        <v>210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74C35-7E3C-45E9-A57E-50B1283920D0}">
  <sheetPr codeName="Sheet3"/>
  <dimension ref="A1:AR122"/>
  <sheetViews>
    <sheetView workbookViewId="0">
      <pane xSplit="2" ySplit="2" topLeftCell="AD41" activePane="bottomRight" state="frozen"/>
      <selection pane="topRight" activeCell="C1" sqref="C1"/>
      <selection pane="bottomLeft" activeCell="A3" sqref="A3"/>
      <selection pane="bottomRight" activeCell="AG66" sqref="AG66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654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 t="s">
        <v>653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6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6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6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6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6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6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6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6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6" x14ac:dyDescent="0.2">
      <c r="A121" s="1" t="s">
        <v>645</v>
      </c>
      <c r="B121" s="1" t="s">
        <v>626</v>
      </c>
      <c r="C121" s="1" t="s">
        <v>205</v>
      </c>
      <c r="D121" s="1" t="str">
        <f t="shared" ref="D121" si="49">"abilities/heroes/"&amp;LEFT(A121,LEN(A121)-2)&amp;"/"&amp;A121</f>
        <v>abilities/heroes/oracle/oracle_4</v>
      </c>
      <c r="E121" s="1" t="str">
        <f t="shared" ref="E12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6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95374449-463A-4B93-91EF-0D749DACEED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2E231B6-0D37-4C98-9FFD-76027CC03777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2021-01-08T16:54:56Z</dcterms:modified>
</cp:coreProperties>
</file>