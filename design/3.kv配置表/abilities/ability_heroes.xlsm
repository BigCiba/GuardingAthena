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5996F8BF-6A24-4A6D-B418-16770C1C3D99}" xr6:coauthVersionLast="46" xr6:coauthVersionMax="46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  <sheet name="backup_Sheet1" sheetId="23" r:id="rId3"/>
  </sheets>
  <definedNames>
    <definedName name="_xlnm._FilterDatabase" localSheetId="2" hidden="1">backup_Sheet1!$A$1:$AG$38</definedName>
    <definedName name="_xlnm._FilterDatabase" localSheetId="0" hidden="1">Sheet1!$A$1:$AG$38</definedName>
    <definedName name="ability" localSheetId="2">backup_Sheet1!#REF!</definedName>
    <definedName name="ability" localSheetId="0">Sheet1!#REF!</definedName>
    <definedName name="ability_1" localSheetId="2">backup_Sheet1!#REF!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31" i="23" l="1"/>
  <c r="D131" i="23"/>
  <c r="E129" i="23"/>
  <c r="D129" i="23"/>
  <c r="E127" i="23"/>
  <c r="D127" i="23"/>
  <c r="E125" i="23"/>
  <c r="D125" i="23"/>
  <c r="E123" i="23"/>
  <c r="D123" i="23"/>
  <c r="E121" i="23"/>
  <c r="D121" i="23"/>
  <c r="E119" i="23"/>
  <c r="D119" i="23"/>
  <c r="E117" i="23"/>
  <c r="D117" i="23"/>
  <c r="E115" i="23"/>
  <c r="D115" i="23"/>
  <c r="E113" i="23"/>
  <c r="D113" i="23"/>
  <c r="E111" i="23"/>
  <c r="D111" i="23"/>
  <c r="E109" i="23"/>
  <c r="D109" i="23"/>
  <c r="E107" i="23"/>
  <c r="D107" i="23"/>
  <c r="E105" i="23"/>
  <c r="D105" i="23"/>
  <c r="E103" i="23"/>
  <c r="D103" i="23"/>
  <c r="E101" i="23"/>
  <c r="D101" i="23"/>
  <c r="E99" i="23"/>
  <c r="D99" i="23"/>
  <c r="E97" i="23"/>
  <c r="D97" i="23"/>
  <c r="E95" i="23"/>
  <c r="D95" i="23"/>
  <c r="E93" i="23"/>
  <c r="D93" i="23"/>
  <c r="E91" i="23"/>
  <c r="D91" i="23"/>
  <c r="E89" i="23"/>
  <c r="D89" i="23"/>
  <c r="E87" i="23"/>
  <c r="D87" i="23"/>
  <c r="E85" i="23"/>
  <c r="D85" i="23"/>
  <c r="E83" i="23"/>
  <c r="D83" i="23"/>
  <c r="E81" i="23"/>
  <c r="D81" i="23"/>
  <c r="E79" i="23"/>
  <c r="D79" i="23"/>
  <c r="E77" i="23"/>
  <c r="D77" i="23"/>
  <c r="E75" i="23"/>
  <c r="D75" i="23"/>
  <c r="E73" i="23"/>
  <c r="D73" i="23"/>
  <c r="E71" i="23"/>
  <c r="E69" i="23"/>
  <c r="D69" i="23"/>
  <c r="E67" i="23"/>
  <c r="D67" i="23"/>
  <c r="E65" i="23"/>
  <c r="D65" i="23"/>
  <c r="E63" i="23"/>
  <c r="D63" i="23"/>
  <c r="E61" i="23"/>
  <c r="D61" i="23"/>
  <c r="E59" i="23"/>
  <c r="E57" i="23"/>
  <c r="D57" i="23"/>
  <c r="E55" i="23"/>
  <c r="D55" i="23"/>
  <c r="E53" i="23"/>
  <c r="D53" i="23"/>
  <c r="E51" i="23"/>
  <c r="D51" i="23"/>
  <c r="E49" i="23"/>
  <c r="D49" i="23"/>
  <c r="D47" i="23"/>
  <c r="D45" i="23"/>
  <c r="D43" i="23"/>
  <c r="D41" i="23"/>
  <c r="D39" i="23"/>
  <c r="E21" i="23"/>
  <c r="D21" i="23"/>
  <c r="E19" i="23"/>
  <c r="D19" i="23"/>
  <c r="E17" i="23"/>
  <c r="D17" i="23"/>
  <c r="E15" i="23"/>
  <c r="D15" i="23"/>
  <c r="E13" i="23"/>
  <c r="D13" i="23"/>
  <c r="E11" i="23"/>
  <c r="D11" i="23"/>
  <c r="E9" i="23"/>
  <c r="D9" i="23"/>
  <c r="E7" i="23"/>
  <c r="D7" i="23"/>
  <c r="E5" i="23"/>
  <c r="D5" i="23"/>
  <c r="E3" i="23"/>
  <c r="D3" i="23"/>
  <c r="E129" i="1" l="1"/>
  <c r="E127" i="1"/>
  <c r="E123" i="1" l="1"/>
  <c r="E125" i="1"/>
  <c r="E131" i="1"/>
  <c r="D123" i="1"/>
  <c r="D125" i="1"/>
  <c r="D127" i="1"/>
  <c r="D129" i="1"/>
  <c r="D131" i="1"/>
  <c r="E113" i="1" l="1"/>
  <c r="E115" i="1"/>
  <c r="E117" i="1"/>
  <c r="E119" i="1"/>
  <c r="E121" i="1"/>
  <c r="D113" i="1"/>
  <c r="D115" i="1"/>
  <c r="D117" i="1"/>
  <c r="D119" i="1"/>
  <c r="D121" i="1"/>
  <c r="E83" i="1" l="1"/>
  <c r="E85" i="1"/>
  <c r="E87" i="1"/>
  <c r="E89" i="1"/>
  <c r="E91" i="1"/>
  <c r="E93" i="1"/>
  <c r="E95" i="1"/>
  <c r="E97" i="1"/>
  <c r="E99" i="1"/>
  <c r="E101" i="1"/>
  <c r="E103" i="1"/>
  <c r="E105" i="1"/>
  <c r="E107" i="1"/>
  <c r="E109" i="1"/>
  <c r="E111" i="1"/>
  <c r="E73" i="1"/>
  <c r="E75" i="1"/>
  <c r="E77" i="1"/>
  <c r="E79" i="1"/>
  <c r="E81" i="1"/>
  <c r="E61" i="1"/>
  <c r="E63" i="1"/>
  <c r="E65" i="1"/>
  <c r="E67" i="1"/>
  <c r="E69" i="1"/>
  <c r="E71" i="1"/>
  <c r="E59" i="1"/>
  <c r="E51" i="1"/>
  <c r="E53" i="1"/>
  <c r="E55" i="1"/>
  <c r="E57" i="1"/>
  <c r="E49" i="1"/>
  <c r="E13" i="1"/>
  <c r="E15" i="1"/>
  <c r="E17" i="1"/>
  <c r="E19" i="1"/>
  <c r="E21" i="1"/>
  <c r="E5" i="1"/>
  <c r="E7" i="1"/>
  <c r="E9" i="1"/>
  <c r="E11" i="1"/>
  <c r="E3" i="1"/>
  <c r="D103" i="1"/>
  <c r="D105" i="1"/>
  <c r="D107" i="1"/>
  <c r="D109" i="1"/>
  <c r="D111" i="1"/>
  <c r="D93" i="1" l="1"/>
  <c r="D95" i="1"/>
  <c r="D97" i="1"/>
  <c r="D99" i="1"/>
  <c r="D101" i="1"/>
  <c r="D85" i="1" l="1"/>
  <c r="D87" i="1"/>
  <c r="D89" i="1"/>
  <c r="D91" i="1"/>
  <c r="D83" i="1"/>
  <c r="D75" i="1" l="1"/>
  <c r="D77" i="1"/>
  <c r="D79" i="1"/>
  <c r="D81" i="1"/>
  <c r="D73" i="1"/>
  <c r="D63" i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<sst xmlns="http://schemas.openxmlformats.org/spreadsheetml/2006/main" count="2776" uniqueCount="682">
  <si>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</si>
  <si>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</si>
  <si>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</si>
  <si>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</si>
  <si>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</si>
  <si>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</si>
  <si>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</si>
  <si>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</si>
  <si>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</si>
  <si>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</si>
  <si>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</si>
  <si>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</si>
  <si>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</si>
  <si>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</si>
  <si>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</si>
  <si>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</si>
  <si>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</si>
  <si>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</si>
  <si>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</si>
  <si>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</si>
  <si>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</si>
  <si>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</si>
  <si>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</si>
  <si>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</si>
  <si>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</si>
  <si>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</si>
  <si>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</si>
  <si>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</si>
  <si>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</si>
  <si>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</si>
  <si>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</si>
  <si>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</si>
  <si>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</si>
  <si>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</si>
  <si>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</si>
  <si>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</si>
  <si>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</si>
  <si>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</si>
  <si>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</si>
  <si>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</si>
  <si>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</si>
  <si>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</si>
  <si>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</si>
  <si>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</si>
  <si>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</si>
  <si>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</si>
  <si>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</si>
  <si>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</si>
  <si>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</si>
  <si>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</si>
  <si>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</si>
  <si>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</si>
  <si>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</si>
  <si>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</si>
  <si>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</si>
  <si>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</si>
  <si>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</si>
  <si>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</si>
  <si>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</si>
  <si>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</si>
  <si>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</si>
  <si>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</si>
  <si>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</si>
  <si>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</si>
  <si>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</si>
  <si>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</si>
  <si>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</si>
  <si>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</si>
  <si>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</si>
  <si>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</si>
  <si>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</si>
  <si>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</si>
  <si>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</si>
  <si>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</si>
  <si>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</si>
  <si>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</si>
  <si>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</si>
  <si>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</si>
  <si>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</si>
  <si>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</si>
  <si>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</si>
  <si>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</si>
  <si>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</si>
  <si>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</si>
  <si>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</si>
  <si>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</si>
  <si>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</si>
  <si>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</si>
  <si>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</si>
  <si>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</si>
  <si>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</si>
  <si>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</si>
  <si>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</si>
  <si>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</si>
  <si>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</si>
  <si>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</si>
  <si>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</si>
  <si>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</si>
  <si>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</si>
  <si>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</si>
  <si>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</si>
  <si>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</si>
  <si>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</si>
  <si>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</si>
  <si>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</si>
  <si>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</si>
  <si>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</si>
  <si>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</si>
  <si>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</si>
  <si>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</si>
  <si>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</si>
  <si>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</si>
  <si>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</si>
  <si>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</si>
  <si>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</si>
  <si>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</si>
  <si>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</si>
  <si>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</si>
  <si>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</si>
  <si>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</si>
  <si>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</si>
  <si>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</si>
  <si>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</si>
  <si>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</si>
  <si>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</si>
  <si>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</si>
  <si>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</si>
  <si>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</si>
  <si>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</si>
  <si>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</si>
  <si>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</si>
  <si>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</si>
  <si>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</si>
  <si>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</si>
  <si>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</si>
  <si>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</si>
  <si>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</si>
  <si>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</si>
  <si>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</si>
  <si>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</si>
  <si>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</si>
  <si>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</si>
  <si>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</si>
  <si>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</si>
  <si>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</si>
  <si>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</si>
  <si>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</si>
  <si>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</si>
  <si>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</si>
  <si>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</si>
  <si>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</si>
  <si>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</si>
  <si>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</si>
  <si>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</si>
  <si>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</si>
  <si>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</si>
  <si>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</si>
  <si>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</si>
  <si>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</si>
  <si>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</si>
  <si>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</si>
  <si>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</si>
  <si>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</si>
  <si>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</si>
  <si>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</si>
  <si>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</si>
  <si>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</si>
  <si>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</si>
  <si>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</si>
  <si>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</si>
  <si>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</si>
  <si>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</si>
  <si>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</si>
  <si>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</si>
  <si>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</si>
  <si>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</si>
  <si>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</si>
  <si>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</si>
  <si>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</si>
  <si>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</si>
  <si>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</si>
  <si>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</si>
  <si>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</si>
  <si>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</si>
  <si>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</si>
  <si>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</si>
  <si>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</si>
  <si>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</si>
  <si>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</si>
  <si>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</si>
  <si>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</si>
  <si>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</si>
  <si>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</si>
  <si>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</si>
  <si>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</si>
  <si>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</si>
  <si>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</si>
  <si>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</si>
  <si>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</si>
  <si>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</si>
  <si>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</si>
  <si>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</si>
  <si>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</si>
  <si>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</si>
  <si>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</si>
  <si>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</si>
  <si>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</si>
  <si>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</si>
  <si>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</si>
  <si>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</si>
  <si>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</si>
  <si>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</si>
  <si>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</si>
  <si>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</si>
  <si>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</si>
  <si>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</si>
  <si>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</si>
  <si>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</si>
  <si>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</si>
  <si>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</si>
  <si>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</si>
  <si>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</si>
  <si>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</si>
  <si>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</si>
  <si>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</si>
  <si>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</si>
  <si>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</si>
  <si>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</si>
  <si>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</si>
  <si>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</si>
  <si>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</si>
  <si>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</si>
  <si>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</si>
  <si>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</si>
  <si>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</si>
  <si>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</si>
  <si>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</si>
  <si>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</si>
  <si>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</si>
  <si>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</si>
  <si>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</si>
  <si>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</si>
  <si>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</si>
  <si>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</si>
  <si>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</si>
  <si>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</si>
  <si>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</si>
  <si>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</si>
  <si>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</si>
  <si>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</si>
  <si>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</si>
  <si>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</si>
  <si>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</si>
  <si>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</si>
  <si>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</si>
  <si>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</si>
  <si>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</si>
  <si>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</si>
  <si>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</si>
  <si>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</si>
  <si>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</si>
  <si>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</si>
  <si>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</si>
  <si>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</si>
  <si>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</si>
  <si>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</si>
  <si>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</si>
  <si>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</si>
  <si>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</si>
  <si>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</si>
  <si>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</si>
  <si>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</si>
  <si>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</si>
  <si>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</si>
  <si>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</si>
  <si>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</si>
  <si>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</si>
  <si>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</si>
  <si>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</si>
  <si>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</si>
  <si>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</si>
  <si>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</si>
  <si>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</si>
  <si>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</si>
  <si>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</si>
  <si>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</si>
  <si>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</si>
  <si>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</si>
  <si>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</si>
  <si>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</si>
  <si>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</si>
  <si>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</si>
  <si>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</si>
  <si>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</si>
  <si>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</si>
  <si>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</si>
  <si>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</si>
  <si>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</si>
  <si>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</si>
  <si>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</si>
  <si>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</si>
  <si>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</si>
  <si>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</si>
  <si>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</si>
  <si>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</si>
  <si>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</si>
  <si>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</si>
  <si>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</si>
  <si>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</si>
  <si>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</si>
  <si>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</si>
  <si>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</si>
  <si>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</si>
  <si>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</si>
  <si>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</si>
  <si>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</si>
  <si>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</si>
  <si>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</si>
  <si>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</si>
  <si>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</si>
  <si>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</si>
  <si>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</si>
  <si>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</si>
  <si>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</si>
  <si>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</si>
  <si>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</si>
  <si>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</si>
  <si>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</si>
  <si>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</si>
  <si>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</si>
  <si>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</si>
  <si>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</si>
  <si>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</si>
  <si>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</si>
  <si>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</si>
  <si>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</si>
  <si>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</si>
  <si>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</si>
  <si>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</si>
  <si>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</si>
  <si>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</si>
  <si>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</si>
  <si>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</si>
  <si>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</si>
  <si>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</si>
  <si>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</si>
  <si>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</si>
  <si>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</si>
  <si>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</si>
  <si>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</si>
  <si>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</si>
  <si>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</si>
  <si>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</si>
  <si>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</si>
  <si>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</si>
  <si>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</si>
  <si>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</si>
  <si>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</si>
  <si>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</si>
  <si>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</si>
  <si>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</si>
  <si>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</si>
  <si>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</si>
  <si>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</si>
  <si>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</si>
  <si>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</si>
  <si>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</si>
  <si>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</si>
  <si>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</si>
  <si>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</si>
  <si>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</si>
  <si>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</si>
  <si>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</si>
  <si>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</si>
  <si>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</si>
  <si>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</si>
  <si>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</si>
  <si>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</si>
  <si>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</si>
  <si>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</si>
  <si>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</si>
  <si>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</si>
  <si>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</si>
  <si>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</si>
  <si>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</si>
  <si>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</si>
  <si>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</si>
  <si>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</si>
  <si>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</si>
  <si>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</si>
  <si>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</si>
  <si>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</si>
  <si>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</si>
  <si>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</si>
  <si>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</si>
  <si>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</si>
  <si>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</si>
  <si>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</si>
  <si>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</si>
  <si>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</si>
  <si>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</si>
  <si>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</si>
  <si>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</si>
  <si>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</si>
  <si>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</si>
  <si>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</si>
  <si>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</si>
  <si>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</si>
  <si>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</si>
  <si>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</si>
  <si>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</si>
  <si>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</si>
  <si>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</si>
  <si>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</si>
  <si>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</si>
  <si>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</si>
  <si>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</si>
  <si>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</si>
  <si>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</si>
  <si>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</si>
  <si>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</si>
  <si>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</si>
  <si>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</si>
  <si>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</si>
  <si>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</si>
  <si>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</si>
  <si>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</si>
  <si>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</si>
  <si>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</si>
  <si>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</si>
  <si>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</si>
  <si>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</si>
  <si>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</si>
  <si>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</si>
  <si>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</si>
  <si>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</si>
  <si>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</si>
  <si>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</si>
  <si>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</si>
  <si>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</si>
  <si>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</si>
  <si>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</si>
  <si>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</si>
  <si>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</si>
  <si>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</si>
  <si>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</si>
  <si>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</si>
  <si>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</si>
  <si>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</si>
  <si>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</si>
  <si>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</si>
  <si>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</si>
  <si>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</si>
  <si>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</si>
  <si>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</si>
  <si>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</si>
  <si>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</si>
  <si>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</si>
  <si>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</si>
  <si>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</si>
  <si>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</si>
  <si>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</si>
  <si>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</si>
  <si>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</si>
  <si>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</si>
  <si>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</si>
  <si>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</si>
  <si>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</si>
  <si>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</si>
  <si>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</si>
  <si>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</si>
  <si>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</si>
  <si>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</si>
  <si>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</si>
  <si>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</si>
  <si>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</si>
  <si>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</si>
  <si>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</si>
  <si>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</si>
  <si>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</si>
  <si>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</si>
  <si>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</si>
  <si>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</si>
  <si>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</si>
  <si>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</si>
  <si>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</si>
  <si>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</si>
  <si>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</si>
  <si>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</si>
  <si>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</si>
  <si>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</si>
  <si>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</si>
  <si>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</si>
  <si>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</si>
  <si>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</si>
  <si>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</si>
  <si>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</si>
  <si>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</si>
  <si>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</si>
  <si>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</si>
  <si>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</si>
  <si>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</si>
  <si>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</si>
  <si>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</si>
  <si>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</si>
  <si>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</si>
  <si>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</si>
  <si>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</si>
  <si>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</si>
  <si>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</si>
  <si>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</si>
  <si>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</si>
  <si>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</si>
  <si>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</si>
  <si>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</si>
  <si>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</si>
  <si>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</si>
  <si>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</si>
  <si>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</si>
  <si>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</si>
  <si>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</si>
  <si>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</si>
  <si>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</si>
  <si>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</si>
  <si>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</si>
  <si>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</si>
  <si>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</si>
  <si>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</si>
  <si>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</si>
  <si>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</si>
  <si>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</si>
  <si>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</si>
  <si>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</si>
  <si>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</si>
  <si>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</si>
  <si>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</si>
  <si>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</si>
  <si>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</si>
  <si>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</si>
  <si>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</si>
  <si>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</si>
  <si>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</si>
  <si>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</si>
  <si>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</si>
  <si>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</si>
  <si>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</si>
  <si>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</si>
  <si>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</si>
  <si>
    <t>shield_factor</t>
    <phoneticPr fontId="1" type="noConversion"/>
  </si>
  <si>
    <t>shield_duration</t>
    <phoneticPr fontId="1" type="noConversion"/>
  </si>
  <si>
    <t>max_count</t>
    <phoneticPr fontId="1" type="noConversion"/>
  </si>
  <si>
    <t>damage_factor</t>
    <phoneticPr fontId="1" type="noConversion"/>
  </si>
  <si>
    <t>bounce_radius</t>
    <phoneticPr fontId="1" type="noConversion"/>
  </si>
  <si>
    <t>cooldown_reduction</t>
    <phoneticPr fontId="1" type="noConversion"/>
  </si>
  <si>
    <t>windrunner_0</t>
    <phoneticPr fontId="1" type="noConversion"/>
  </si>
  <si>
    <t>追星逐月</t>
    <phoneticPr fontId="1" type="noConversion"/>
  </si>
  <si>
    <t>多重射击</t>
    <phoneticPr fontId="1" type="noConversion"/>
  </si>
  <si>
    <t>狂风</t>
    <phoneticPr fontId="1" type="noConversion"/>
  </si>
  <si>
    <t>风行</t>
    <phoneticPr fontId="1" type="noConversion"/>
  </si>
  <si>
    <t>箭矢风暴</t>
    <phoneticPr fontId="1" type="noConversion"/>
  </si>
  <si>
    <t>delay_pct</t>
    <phoneticPr fontId="1" type="noConversion"/>
  </si>
  <si>
    <t>windrunner_1</t>
    <phoneticPr fontId="1" type="noConversion"/>
  </si>
  <si>
    <t>windrunner_2</t>
    <phoneticPr fontId="1" type="noConversion"/>
  </si>
  <si>
    <t>windrunner_3</t>
    <phoneticPr fontId="1" type="noConversion"/>
  </si>
  <si>
    <t>windrunner_4</t>
    <phoneticPr fontId="1" type="noConversion"/>
  </si>
  <si>
    <t>DOTA_ABILITY_BEHAVIOR_IMMEDIATE</t>
    <phoneticPr fontId="1" type="noConversion"/>
  </si>
  <si>
    <t>DOTA_ABILITY_BEHAVIOR_IGNORE_BACKSWING</t>
    <phoneticPr fontId="1" type="noConversion"/>
  </si>
  <si>
    <t>DOTA_ABILITY_BEHAVIOR_UNIT_TARGET | DOTA_ABILITY_BEHAVIOR_IMMEDIATE | DOTA_ABILITY_BEHAVIOR_IGNORE_BACKSWING</t>
    <phoneticPr fontId="1" type="noConversion"/>
  </si>
  <si>
    <t>attacktime</t>
    <phoneticPr fontId="1" type="noConversion"/>
  </si>
  <si>
    <t>30 60 90 120 150 180 210 240 270 300 330 360 390 420 450 480 510 540 570 600</t>
    <phoneticPr fontId="1" type="noConversion"/>
  </si>
  <si>
    <t>range</t>
    <phoneticPr fontId="1" type="noConversion"/>
  </si>
  <si>
    <t>DOTA_ABILITY_BEHAVIOR_NO_TARGET | DOTA_ABILITY_BEHAVIOR_IMMEDIATE</t>
    <phoneticPr fontId="1" type="noConversion"/>
  </si>
  <si>
    <t>DOTA_ABILITY_BEHAVIOR_POINT | DOTA_ABILITY_BEHAVIOR_CHANNELLED | DOTA_ABILITY_BEHAVIOR_IGNORE_BACKSWING</t>
    <phoneticPr fontId="1" type="noConversion"/>
  </si>
  <si>
    <t>damage_radius</t>
    <phoneticPr fontId="1" type="noConversion"/>
  </si>
  <si>
    <t>5 10 15 20 25 30 35 40</t>
    <phoneticPr fontId="1" type="noConversion"/>
  </si>
  <si>
    <t>54 58 62 66 70 74 78 82 86 90 94 98 102 106 110 114 118 122 126 130</t>
    <phoneticPr fontId="1" type="noConversion"/>
  </si>
  <si>
    <t>80 100 120 140 160 180 200 220</t>
    <phoneticPr fontId="1" type="noConversion"/>
  </si>
  <si>
    <t>120 135 150 165 180 195 210 225</t>
    <phoneticPr fontId="1" type="noConversion"/>
  </si>
  <si>
    <t>22 24 26 28 30 32 34 36 38 40 42 44 46 48 50 52 54 56 58 60</t>
    <phoneticPr fontId="1" type="noConversion"/>
  </si>
  <si>
    <t>movespeed_pct</t>
    <phoneticPr fontId="1" type="noConversion"/>
  </si>
  <si>
    <t>movespeed_reduce_pct</t>
    <phoneticPr fontId="1" type="noConversion"/>
  </si>
  <si>
    <t>scepter_bonus_duration</t>
    <phoneticPr fontId="1" type="noConversion"/>
  </si>
  <si>
    <t>scepter_duration</t>
    <phoneticPr fontId="1" type="noConversion"/>
  </si>
  <si>
    <t>2|3</t>
    <phoneticPr fontId="1" type="noConversion"/>
  </si>
  <si>
    <t>bonus_damage_pct</t>
    <phoneticPr fontId="1" type="noConversion"/>
  </si>
  <si>
    <t>bonus_range</t>
    <phoneticPr fontId="1" type="noConversion"/>
  </si>
  <si>
    <t>spirit_count</t>
    <phoneticPr fontId="1" type="noConversion"/>
  </si>
  <si>
    <t>armor_reduce</t>
    <phoneticPr fontId="1" type="noConversion"/>
  </si>
  <si>
    <t>active_cooldown</t>
    <phoneticPr fontId="1" type="noConversion"/>
  </si>
  <si>
    <t>damage_increase_pct</t>
    <phoneticPr fontId="1" type="noConversion"/>
  </si>
  <si>
    <t>attackspeed_reduce</t>
    <phoneticPr fontId="1" type="noConversion"/>
  </si>
  <si>
    <t>crystal_maiden_0</t>
    <phoneticPr fontId="1" type="noConversion"/>
  </si>
  <si>
    <t>冰霜魔印</t>
    <phoneticPr fontId="1" type="noConversion"/>
  </si>
  <si>
    <t>寒气爆发</t>
    <phoneticPr fontId="1" type="noConversion"/>
  </si>
  <si>
    <t>暴风雪</t>
    <phoneticPr fontId="1" type="noConversion"/>
  </si>
  <si>
    <t>急冻光环</t>
    <phoneticPr fontId="1" type="noConversion"/>
  </si>
  <si>
    <t>冰霜结界</t>
    <phoneticPr fontId="1" type="noConversion"/>
  </si>
  <si>
    <t>DOTA_UNIT_TARGET_TEAM_BOTH</t>
    <phoneticPr fontId="1" type="noConversion"/>
  </si>
  <si>
    <t>frozen_duration</t>
    <phoneticPr fontId="1" type="noConversion"/>
  </si>
  <si>
    <t>cold_radius</t>
    <phoneticPr fontId="1" type="noConversion"/>
  </si>
  <si>
    <t>mark_duration</t>
    <phoneticPr fontId="1" type="noConversion"/>
  </si>
  <si>
    <t>crystal_maiden_1</t>
    <phoneticPr fontId="1" type="noConversion"/>
  </si>
  <si>
    <t>crystal_maiden_2</t>
    <phoneticPr fontId="1" type="noConversion"/>
  </si>
  <si>
    <t>crystal_maiden_3</t>
    <phoneticPr fontId="1" type="noConversion"/>
  </si>
  <si>
    <t>crystal_maiden_4</t>
    <phoneticPr fontId="1" type="noConversion"/>
  </si>
  <si>
    <t>80 85 90 95 100 105 110 115 120 125 130 135 140 145 150 155 160 165 170 175</t>
    <phoneticPr fontId="1" type="noConversion"/>
  </si>
  <si>
    <t>25 30 35 40 45 50 55 60 65 70 75 80 85 90 95 100 105 110 115 120</t>
    <phoneticPr fontId="1" type="noConversion"/>
  </si>
  <si>
    <t>slow_duration</t>
    <phoneticPr fontId="1" type="noConversion"/>
  </si>
  <si>
    <t>radius_per_cold</t>
    <phoneticPr fontId="1" type="noConversion"/>
  </si>
  <si>
    <t>damage_per_cold</t>
    <phoneticPr fontId="1" type="noConversion"/>
  </si>
  <si>
    <t>interval_per_cold</t>
    <phoneticPr fontId="1" type="noConversion"/>
  </si>
  <si>
    <t>cooldown_reduce</t>
    <phoneticPr fontId="1" type="noConversion"/>
  </si>
  <si>
    <t>refresh_chance</t>
    <phoneticPr fontId="1" type="noConversion"/>
  </si>
  <si>
    <t>frozen_per_cold</t>
    <phoneticPr fontId="1" type="noConversion"/>
  </si>
  <si>
    <t>frozen_speed</t>
    <phoneticPr fontId="1" type="noConversion"/>
  </si>
  <si>
    <t>40 60 80 100 120 140 160 180</t>
    <phoneticPr fontId="1" type="noConversion"/>
  </si>
  <si>
    <t>duration_per_cold</t>
    <phoneticPr fontId="1" type="noConversion"/>
  </si>
  <si>
    <t>scepter_freeze_duration</t>
    <phoneticPr fontId="1" type="noConversion"/>
  </si>
  <si>
    <t>1|3</t>
    <phoneticPr fontId="1" type="noConversion"/>
  </si>
  <si>
    <t>scepter_max_count</t>
    <phoneticPr fontId="1" type="noConversion"/>
  </si>
  <si>
    <t>chance_per_cold</t>
    <phoneticPr fontId="1" type="noConversion"/>
  </si>
  <si>
    <t>11 12 13 14 15 16 17 18 19 20 21 22 23 24 25 26 27 28 29 30</t>
    <phoneticPr fontId="1" type="noConversion"/>
  </si>
  <si>
    <t>oracle_0</t>
    <phoneticPr fontId="1" type="noConversion"/>
  </si>
  <si>
    <t>死亡预言</t>
    <phoneticPr fontId="1" type="noConversion"/>
  </si>
  <si>
    <t>涤罪之焰</t>
    <phoneticPr fontId="1" type="noConversion"/>
  </si>
  <si>
    <t>窥视未来</t>
    <phoneticPr fontId="1" type="noConversion"/>
  </si>
  <si>
    <t>恒星陨落</t>
    <phoneticPr fontId="1" type="noConversion"/>
  </si>
  <si>
    <t>bonus_intellect</t>
    <phoneticPr fontId="1" type="noConversion"/>
  </si>
  <si>
    <t>bonus_damage</t>
    <phoneticPr fontId="1" type="noConversion"/>
  </si>
  <si>
    <t>bonus_damage_stack</t>
    <phoneticPr fontId="1" type="noConversion"/>
  </si>
  <si>
    <t>intellect_stack</t>
    <phoneticPr fontId="1" type="noConversion"/>
  </si>
  <si>
    <t>exp_gain_pct</t>
    <phoneticPr fontId="1" type="noConversion"/>
  </si>
  <si>
    <t>damage_dot</t>
    <phoneticPr fontId="1" type="noConversion"/>
  </si>
  <si>
    <t>damage_reduce_pct</t>
    <phoneticPr fontId="1" type="noConversion"/>
  </si>
  <si>
    <t>base_level</t>
    <phoneticPr fontId="1" type="noConversion"/>
  </si>
  <si>
    <t>util_level</t>
    <phoneticPr fontId="1" type="noConversion"/>
  </si>
  <si>
    <t>21 22 23 24 25 26 27 28 29 30 31 32 33 34 35 36 37 38 39 40</t>
    <phoneticPr fontId="1" type="noConversion"/>
  </si>
  <si>
    <t>block_count</t>
    <phoneticPr fontId="1" type="noConversion"/>
  </si>
  <si>
    <t>6 6 6 6 7 7 7 7 8 8 8 8 9 9 9 9 10 10 10 10</t>
    <phoneticPr fontId="1" type="noConversion"/>
  </si>
  <si>
    <t>block_duration</t>
    <phoneticPr fontId="1" type="noConversion"/>
  </si>
  <si>
    <t>80 160 240 320 400 480 560 640</t>
    <phoneticPr fontId="1" type="noConversion"/>
  </si>
  <si>
    <t>imprison_duration</t>
    <phoneticPr fontId="1" type="noConversion"/>
  </si>
  <si>
    <t>oracle_1</t>
    <phoneticPr fontId="1" type="noConversion"/>
  </si>
  <si>
    <t>oracle_2</t>
    <phoneticPr fontId="1" type="noConversion"/>
  </si>
  <si>
    <t>oracle_3</t>
    <phoneticPr fontId="1" type="noConversion"/>
  </si>
  <si>
    <t>oracle_4</t>
    <phoneticPr fontId="1" type="noConversion"/>
  </si>
  <si>
    <t>命运敕令</t>
    <phoneticPr fontId="1" type="noConversion"/>
  </si>
  <si>
    <t>DOTA_UNIT_TARGET_FLAG_OUT_OF_WORLD</t>
    <phoneticPr fontId="1" type="noConversion"/>
  </si>
  <si>
    <t>DOTA_ABILITY_BEHAVIOR_AUTOCAST</t>
    <phoneticPr fontId="1" type="noConversion"/>
  </si>
  <si>
    <t>DOTA_ABILITY_BEHAVIOR_UNIT_TARGET | DOTA_ABILITY_BEHAVIOR_AUTOCAST</t>
    <phoneticPr fontId="1" type="noConversion"/>
  </si>
  <si>
    <t>scepter_bonus_int_pct</t>
    <phoneticPr fontId="1" type="noConversion"/>
  </si>
  <si>
    <t>scepter_root_radius</t>
    <phoneticPr fontId="1" type="noConversion"/>
  </si>
  <si>
    <t>scepter_root_duration</t>
    <phoneticPr fontId="1" type="noConversion"/>
  </si>
  <si>
    <t>.</t>
    <phoneticPr fontId="1" type="noConversion"/>
  </si>
  <si>
    <t>void_spirit_0</t>
    <phoneticPr fontId="1" type="noConversion"/>
  </si>
  <si>
    <t>void_spirit_1</t>
    <phoneticPr fontId="1" type="noConversion"/>
  </si>
  <si>
    <t>void_spirit_2</t>
    <phoneticPr fontId="1" type="noConversion"/>
  </si>
  <si>
    <t>void_spirit_3</t>
    <phoneticPr fontId="1" type="noConversion"/>
  </si>
  <si>
    <t>void_spirit_4</t>
    <phoneticPr fontId="1" type="noConversion"/>
  </si>
  <si>
    <t>太虚守卫</t>
    <phoneticPr fontId="1" type="noConversion"/>
  </si>
  <si>
    <t>共鸣脉冲</t>
    <phoneticPr fontId="1" type="noConversion"/>
  </si>
  <si>
    <t>灵扉</t>
    <phoneticPr fontId="1" type="noConversion"/>
  </si>
  <si>
    <t>异化</t>
    <phoneticPr fontId="1" type="noConversion"/>
  </si>
  <si>
    <t>太虚之径</t>
    <phoneticPr fontId="1" type="noConversion"/>
  </si>
  <si>
    <t>base_shield</t>
    <phoneticPr fontId="1" type="noConversion"/>
  </si>
  <si>
    <t>shield_per_attack</t>
    <phoneticPr fontId="1" type="noConversion"/>
  </si>
  <si>
    <t>disappear_time</t>
    <phoneticPr fontId="1" type="noConversion"/>
  </si>
  <si>
    <t>destination_fx_radius</t>
    <phoneticPr fontId="1" type="noConversion"/>
  </si>
  <si>
    <t>portals_per_ring</t>
    <phoneticPr fontId="1" type="noConversion"/>
  </si>
  <si>
    <t>angle_per_ring_portal</t>
    <phoneticPr fontId="1" type="noConversion"/>
  </si>
  <si>
    <t>first_ring_distance_offset</t>
    <phoneticPr fontId="1" type="noConversion"/>
  </si>
  <si>
    <t>min_travel_distance</t>
    <phoneticPr fontId="1" type="noConversion"/>
  </si>
  <si>
    <t>max_travel_distance</t>
    <phoneticPr fontId="1" type="noConversion"/>
  </si>
  <si>
    <t>pop_damage_delay</t>
    <phoneticPr fontId="1" type="noConversion"/>
  </si>
  <si>
    <t>movement_slow_pct</t>
    <phoneticPr fontId="1" type="noConversion"/>
  </si>
  <si>
    <t>DOTA_ABILITY_BEHAVIOR_POINT | DOTA_ABILITY_BEHAVIOR_IGNORE_BACKSWING</t>
    <phoneticPr fontId="1" type="noConversion"/>
  </si>
  <si>
    <t>DOTA_ABILITY_BEHAVIOR_POINT | DOTA_ABILITY_BEHAVIOR_AUTOCAST</t>
    <phoneticPr fontId="1" type="noConversion"/>
  </si>
  <si>
    <t>search_radius</t>
    <phoneticPr fontId="1" type="noConversion"/>
  </si>
  <si>
    <t>400 800 1200 1600 2000 2400 2800 3200 3600 4000 4400 4800 5200 5600 6000 6400 6800 7200 7600 8000</t>
    <phoneticPr fontId="1" type="noConversion"/>
  </si>
  <si>
    <t>health_reduce_pct</t>
    <phoneticPr fontId="1" type="noConversion"/>
  </si>
  <si>
    <t>20</t>
    <phoneticPr fontId="1" type="noConversion"/>
  </si>
  <si>
    <t>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</si>
</sst>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常规" xfId="0" builtinId="0"/>
  </cellStyles>
  <dxfs count="11"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32"/>
  <sheetViews>
    <sheetView tabSelected="1" workbookViewId="0">
      <pane xSplit="2" ySplit="2" topLeftCell="AI83" activePane="bottomRight" state="frozen"/>
      <selection pane="topRight" activeCell="C1" sqref="C1"/>
      <selection pane="bottomLeft" activeCell="A3" sqref="A3"/>
      <selection pane="bottomRight" activeCell="AL88" sqref="AL88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4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2" t="s">
        <v>210</v>
      </c>
      <c r="AB5" s="12"/>
      <c r="AC5" s="12" t="s">
        <v>219</v>
      </c>
      <c r="AD5" s="12" t="s">
        <v>213</v>
      </c>
      <c r="AE5" s="12" t="s">
        <v>220</v>
      </c>
      <c r="AF5" s="12" t="s">
        <v>211</v>
      </c>
      <c r="AG5" s="12" t="s">
        <v>221</v>
      </c>
      <c r="AH5" s="12" t="s">
        <v>222</v>
      </c>
      <c r="AI5" s="13" t="s">
        <v>223</v>
      </c>
      <c r="AJ5" s="13" t="s">
        <v>589</v>
      </c>
      <c r="AK5" s="13"/>
      <c r="AL5" s="13"/>
      <c r="AM5" s="13"/>
      <c r="AN5" s="13"/>
      <c r="AO5" s="13"/>
    </row>
    <row r="6" spans="1:44" s="2" customFormat="1" x14ac:dyDescent="0.2">
      <c r="D6" s="1"/>
      <c r="E6" s="1"/>
      <c r="AA6" s="12"/>
      <c r="AB6" s="12"/>
      <c r="AC6" s="12" t="s">
        <v>343</v>
      </c>
      <c r="AD6" s="12" t="s">
        <v>347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>
        <v>25</v>
      </c>
      <c r="AK6" s="13"/>
      <c r="AL6" s="13"/>
      <c r="AM6" s="13"/>
      <c r="AN6" s="13"/>
      <c r="AO6" s="13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10" t="s">
        <v>230</v>
      </c>
      <c r="AJ7" s="10" t="s">
        <v>231</v>
      </c>
      <c r="AK7" s="10" t="s">
        <v>212</v>
      </c>
      <c r="AL7" s="10" t="s">
        <v>232</v>
      </c>
      <c r="AM7" s="10" t="s">
        <v>590</v>
      </c>
      <c r="AN7" s="10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10" t="s">
        <v>351</v>
      </c>
      <c r="AJ8" s="10" t="s">
        <v>352</v>
      </c>
      <c r="AK8" s="10" t="s">
        <v>353</v>
      </c>
      <c r="AL8" s="10">
        <v>40</v>
      </c>
      <c r="AM8" s="10">
        <v>50</v>
      </c>
      <c r="AN8" s="10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210</v>
      </c>
      <c r="AB9" s="12"/>
      <c r="AC9" s="12" t="s">
        <v>238</v>
      </c>
      <c r="AD9" s="12" t="s">
        <v>239</v>
      </c>
      <c r="AE9" s="12" t="s">
        <v>373</v>
      </c>
      <c r="AF9" s="12" t="s">
        <v>240</v>
      </c>
      <c r="AG9" s="12" t="s">
        <v>241</v>
      </c>
      <c r="AH9" s="12" t="s">
        <v>242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E10" s="1"/>
      <c r="AA10" s="12"/>
      <c r="AB10" s="12"/>
      <c r="AC10" s="12" t="s">
        <v>372</v>
      </c>
      <c r="AD10" s="12" t="s">
        <v>339</v>
      </c>
      <c r="AE10" s="12" t="s">
        <v>354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10" t="s">
        <v>257</v>
      </c>
      <c r="AJ11" s="10" t="s">
        <v>258</v>
      </c>
      <c r="AK11" s="10" t="s">
        <v>235</v>
      </c>
      <c r="AL11" s="10" t="s">
        <v>247</v>
      </c>
      <c r="AM11" s="10" t="s">
        <v>248</v>
      </c>
      <c r="AN11" s="10" t="s">
        <v>249</v>
      </c>
      <c r="AO11" s="10" t="s">
        <v>250</v>
      </c>
      <c r="AP11" s="1" t="s">
        <v>506</v>
      </c>
      <c r="AQ11" s="1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262</v>
      </c>
      <c r="AN12" s="10">
        <v>4</v>
      </c>
      <c r="AO12" s="10">
        <v>30</v>
      </c>
      <c r="AP12" s="1">
        <v>0.3</v>
      </c>
      <c r="AQ12" s="1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2"/>
      <c r="AB13" s="12"/>
      <c r="AC13" s="12" t="s">
        <v>222</v>
      </c>
      <c r="AD13" s="12" t="s">
        <v>221</v>
      </c>
      <c r="AE13" s="12" t="s">
        <v>266</v>
      </c>
      <c r="AF13" s="12" t="s">
        <v>235</v>
      </c>
      <c r="AG13" s="12" t="s">
        <v>214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E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10" t="s">
        <v>273</v>
      </c>
      <c r="AJ15" s="10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2" t="s">
        <v>210</v>
      </c>
      <c r="AB17" s="12"/>
      <c r="AC17" s="12" t="s">
        <v>219</v>
      </c>
      <c r="AD17" s="12" t="s">
        <v>269</v>
      </c>
      <c r="AE17" s="12" t="s">
        <v>273</v>
      </c>
      <c r="AF17" s="12" t="s">
        <v>272</v>
      </c>
      <c r="AG17" s="12" t="s">
        <v>278</v>
      </c>
      <c r="AH17" s="12" t="s">
        <v>232</v>
      </c>
      <c r="AI17" s="13" t="s">
        <v>220</v>
      </c>
      <c r="AJ17" s="13" t="s">
        <v>279</v>
      </c>
      <c r="AK17" s="13"/>
      <c r="AL17" s="13"/>
      <c r="AM17" s="13"/>
      <c r="AN17" s="13"/>
      <c r="AO17" s="13"/>
    </row>
    <row r="18" spans="1:41" s="2" customFormat="1" x14ac:dyDescent="0.2">
      <c r="D18" s="1"/>
      <c r="E18" s="1"/>
      <c r="AA18" s="12"/>
      <c r="AB18" s="12"/>
      <c r="AC18" s="12" t="s">
        <v>345</v>
      </c>
      <c r="AD18" s="12" t="s">
        <v>347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10" t="s">
        <v>287</v>
      </c>
      <c r="AJ19" s="10" t="s">
        <v>288</v>
      </c>
      <c r="AK19" s="10" t="s">
        <v>282</v>
      </c>
      <c r="AL19" s="10" t="s">
        <v>283</v>
      </c>
      <c r="AM19" s="10" t="s">
        <v>219</v>
      </c>
    </row>
    <row r="20" spans="1:41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340</v>
      </c>
      <c r="AL20" s="10">
        <v>2</v>
      </c>
      <c r="AM20" s="10" t="s">
        <v>343</v>
      </c>
    </row>
    <row r="21" spans="1:41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2" t="s">
        <v>210</v>
      </c>
      <c r="AB21" s="12"/>
      <c r="AC21" s="12" t="s">
        <v>219</v>
      </c>
      <c r="AD21" s="12" t="s">
        <v>269</v>
      </c>
      <c r="AE21" s="12" t="s">
        <v>285</v>
      </c>
      <c r="AF21" s="12" t="s">
        <v>220</v>
      </c>
      <c r="AG21" s="12" t="s">
        <v>291</v>
      </c>
      <c r="AH21" s="12" t="s">
        <v>292</v>
      </c>
      <c r="AI21" s="13" t="s">
        <v>278</v>
      </c>
      <c r="AJ21" s="13" t="s">
        <v>232</v>
      </c>
      <c r="AK21" s="13" t="s">
        <v>293</v>
      </c>
      <c r="AL21" s="13"/>
      <c r="AM21" s="13"/>
      <c r="AN21" s="13"/>
      <c r="AO21" s="13"/>
    </row>
    <row r="22" spans="1:41" s="2" customFormat="1" x14ac:dyDescent="0.2">
      <c r="D22" s="1"/>
      <c r="E22" s="1"/>
      <c r="AA22" s="12"/>
      <c r="AB22" s="12"/>
      <c r="AC22" s="12" t="s">
        <v>346</v>
      </c>
      <c r="AD22" s="12" t="s">
        <v>350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2"/>
      <c r="AB25" s="12"/>
      <c r="AC25" s="12" t="s">
        <v>303</v>
      </c>
      <c r="AD25" s="12" t="s">
        <v>282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10" t="s">
        <v>311</v>
      </c>
      <c r="AJ27" s="10" t="s">
        <v>220</v>
      </c>
      <c r="AK27" s="10" t="s">
        <v>312</v>
      </c>
      <c r="AL27" s="10" t="s">
        <v>313</v>
      </c>
      <c r="AM27" s="10" t="s">
        <v>314</v>
      </c>
      <c r="AN27" s="10" t="s">
        <v>273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2" t="s">
        <v>210</v>
      </c>
      <c r="AB29" s="12"/>
      <c r="AC29" s="12" t="s">
        <v>232</v>
      </c>
      <c r="AD29" s="12" t="s">
        <v>318</v>
      </c>
      <c r="AE29" s="12" t="s">
        <v>319</v>
      </c>
      <c r="AF29" s="12" t="s">
        <v>320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10" t="s">
        <v>332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10" t="s">
        <v>326</v>
      </c>
      <c r="AJ41" s="10" t="s">
        <v>325</v>
      </c>
      <c r="AK41" s="10" t="s">
        <v>311</v>
      </c>
      <c r="AL41" s="8" t="s">
        <v>220</v>
      </c>
      <c r="AM41" s="8" t="s">
        <v>312</v>
      </c>
      <c r="AN41" s="10" t="s">
        <v>313</v>
      </c>
      <c r="AO41" s="10" t="s">
        <v>314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10">
        <v>2</v>
      </c>
      <c r="AJ42" s="10">
        <v>8</v>
      </c>
      <c r="AK42" s="10" t="s">
        <v>368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2" t="s">
        <v>210</v>
      </c>
      <c r="AB43" s="12"/>
      <c r="AC43" s="12" t="s">
        <v>232</v>
      </c>
      <c r="AD43" s="12" t="s">
        <v>318</v>
      </c>
      <c r="AE43" s="12" t="s">
        <v>319</v>
      </c>
      <c r="AF43" s="12" t="s">
        <v>320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368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10" t="s">
        <v>332</v>
      </c>
    </row>
    <row r="46" spans="1:41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1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10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10" t="s">
        <v>278</v>
      </c>
      <c r="AJ51" s="10" t="s">
        <v>232</v>
      </c>
      <c r="AK51" s="10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10">
        <v>60</v>
      </c>
      <c r="AJ52" s="10">
        <v>10</v>
      </c>
      <c r="AK52" s="10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10" t="s">
        <v>400</v>
      </c>
      <c r="AJ53" s="10" t="s">
        <v>401</v>
      </c>
      <c r="AK53" s="10" t="s">
        <v>450</v>
      </c>
      <c r="AL53" s="10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10">
        <v>3</v>
      </c>
      <c r="AJ54" s="10" t="s">
        <v>354</v>
      </c>
      <c r="AK54" s="10">
        <v>30</v>
      </c>
      <c r="AL54" s="10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10" t="s">
        <v>379</v>
      </c>
      <c r="AJ55" s="10" t="s">
        <v>399</v>
      </c>
      <c r="AK55" s="10" t="s">
        <v>451</v>
      </c>
      <c r="AL55" s="10" t="s">
        <v>402</v>
      </c>
      <c r="AM55" s="10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10" t="s">
        <v>220</v>
      </c>
      <c r="AJ57" s="10" t="s">
        <v>403</v>
      </c>
      <c r="AK57" s="10" t="s">
        <v>406</v>
      </c>
      <c r="AL57" s="10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10" t="s">
        <v>427</v>
      </c>
      <c r="AJ63" s="10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10" t="s">
        <v>471</v>
      </c>
      <c r="AJ67" s="10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473</v>
      </c>
      <c r="B73" s="1" t="s">
        <v>474</v>
      </c>
      <c r="C73" s="1" t="s">
        <v>205</v>
      </c>
      <c r="D73" s="1" t="str">
        <f>"abilities/heroes/"&amp;LEFT(A73,LEN(A73)-2)&amp;"/"&amp;A73</f>
        <v>abilities/heroes/nevermore/nevermore_0</v>
      </c>
      <c r="E73" s="1" t="str">
        <f t="shared" si="21"/>
        <v>nevermore_0</v>
      </c>
      <c r="F73" s="1" t="s">
        <v>206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208</v>
      </c>
      <c r="Y73" s="1" t="s">
        <v>209</v>
      </c>
      <c r="AA73" s="8" t="s">
        <v>210</v>
      </c>
      <c r="AC73" s="8" t="s">
        <v>220</v>
      </c>
      <c r="AD73" s="8" t="s">
        <v>269</v>
      </c>
      <c r="AE73" s="8" t="s">
        <v>454</v>
      </c>
      <c r="AF73" s="8" t="s">
        <v>518</v>
      </c>
      <c r="AG73" s="8" t="s">
        <v>517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495</v>
      </c>
      <c r="B75" s="1" t="s">
        <v>475</v>
      </c>
      <c r="C75" s="1" t="s">
        <v>205</v>
      </c>
      <c r="D75" s="1" t="str">
        <f t="shared" ref="D75" si="26">"abilities/heroes/"&amp;LEFT(A75,LEN(A75)-2)&amp;"/"&amp;A75</f>
        <v>abilities/heroes/nevermore/nevermore_1</v>
      </c>
      <c r="E75" s="1" t="str">
        <f t="shared" si="21"/>
        <v>nevermore_1</v>
      </c>
      <c r="F75" s="1" t="s">
        <v>206</v>
      </c>
      <c r="I75" s="1">
        <v>20</v>
      </c>
      <c r="J75" s="1">
        <v>1</v>
      </c>
      <c r="K75" s="1">
        <v>3</v>
      </c>
      <c r="L75" s="1" t="s">
        <v>499</v>
      </c>
      <c r="N75" s="1">
        <v>0.55000000000000004</v>
      </c>
      <c r="Q75" s="1">
        <v>8</v>
      </c>
      <c r="U75" s="1" t="s">
        <v>494</v>
      </c>
      <c r="W75" s="1" t="s">
        <v>479</v>
      </c>
      <c r="X75" s="1" t="s">
        <v>208</v>
      </c>
      <c r="Y75" s="1" t="s">
        <v>209</v>
      </c>
      <c r="AA75" s="8" t="s">
        <v>210</v>
      </c>
      <c r="AC75" s="8" t="s">
        <v>219</v>
      </c>
      <c r="AD75" s="8" t="s">
        <v>269</v>
      </c>
      <c r="AE75" s="8" t="s">
        <v>503</v>
      </c>
      <c r="AF75" s="8" t="s">
        <v>480</v>
      </c>
      <c r="AG75" s="8" t="s">
        <v>488</v>
      </c>
      <c r="AH75" s="8" t="s">
        <v>490</v>
      </c>
      <c r="AI75" s="10" t="s">
        <v>481</v>
      </c>
      <c r="AJ75" s="10" t="s">
        <v>510</v>
      </c>
      <c r="AK75" s="10" t="s">
        <v>232</v>
      </c>
      <c r="AL75" s="10" t="s">
        <v>489</v>
      </c>
      <c r="AM75" s="10" t="s">
        <v>509</v>
      </c>
    </row>
    <row r="76" spans="1:44" x14ac:dyDescent="0.2">
      <c r="AC76" s="8" t="s">
        <v>515</v>
      </c>
      <c r="AD76" s="8" t="s">
        <v>347</v>
      </c>
      <c r="AE76" s="8">
        <v>300</v>
      </c>
      <c r="AF76" s="8">
        <v>3</v>
      </c>
      <c r="AG76" s="8" t="s">
        <v>493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496</v>
      </c>
      <c r="B77" s="1" t="s">
        <v>477</v>
      </c>
      <c r="C77" s="1" t="s">
        <v>205</v>
      </c>
      <c r="D77" s="1" t="str">
        <f t="shared" ref="D77" si="27">"abilities/heroes/"&amp;LEFT(A77,LEN(A77)-2)&amp;"/"&amp;A77</f>
        <v>abilities/heroes/nevermore/nevermore_2</v>
      </c>
      <c r="E77" s="1" t="str">
        <f t="shared" si="21"/>
        <v>nevermore_2</v>
      </c>
      <c r="F77" s="1" t="s">
        <v>206</v>
      </c>
      <c r="I77" s="1">
        <v>20</v>
      </c>
      <c r="J77" s="1">
        <v>1</v>
      </c>
      <c r="K77" s="1">
        <v>3</v>
      </c>
      <c r="L77" s="1" t="s">
        <v>500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218</v>
      </c>
      <c r="W77" s="1" t="s">
        <v>88</v>
      </c>
      <c r="X77" s="1" t="s">
        <v>208</v>
      </c>
      <c r="Y77" s="1" t="s">
        <v>209</v>
      </c>
      <c r="AA77" s="8" t="s">
        <v>210</v>
      </c>
      <c r="AC77" s="8" t="s">
        <v>219</v>
      </c>
      <c r="AD77" s="8" t="s">
        <v>269</v>
      </c>
      <c r="AE77" s="8" t="s">
        <v>231</v>
      </c>
      <c r="AF77" s="8" t="s">
        <v>403</v>
      </c>
      <c r="AG77" s="8" t="s">
        <v>312</v>
      </c>
      <c r="AH77" s="8" t="s">
        <v>232</v>
      </c>
      <c r="AI77" s="8" t="s">
        <v>220</v>
      </c>
      <c r="AJ77" s="10" t="s">
        <v>233</v>
      </c>
    </row>
    <row r="78" spans="1:44" x14ac:dyDescent="0.2">
      <c r="AC78" s="8" t="s">
        <v>343</v>
      </c>
      <c r="AD78" s="8" t="s">
        <v>354</v>
      </c>
      <c r="AE78" s="8" t="s">
        <v>516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497</v>
      </c>
      <c r="B79" s="1" t="s">
        <v>478</v>
      </c>
      <c r="C79" s="1" t="s">
        <v>205</v>
      </c>
      <c r="D79" s="1" t="str">
        <f t="shared" ref="D79" si="28">"abilities/heroes/"&amp;LEFT(A79,LEN(A79)-2)&amp;"/"&amp;A79</f>
        <v>abilities/heroes/nevermore/nevermore_3</v>
      </c>
      <c r="E79" s="1" t="str">
        <f t="shared" si="21"/>
        <v>nevermore_3</v>
      </c>
      <c r="F79" s="1" t="s">
        <v>206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492</v>
      </c>
      <c r="AA79" s="8" t="s">
        <v>210</v>
      </c>
      <c r="AC79" s="8" t="s">
        <v>482</v>
      </c>
      <c r="AD79" s="8" t="s">
        <v>254</v>
      </c>
      <c r="AE79" s="8" t="s">
        <v>483</v>
      </c>
      <c r="AF79" s="8" t="s">
        <v>238</v>
      </c>
    </row>
    <row r="80" spans="1:44" x14ac:dyDescent="0.2">
      <c r="AC80" s="8" t="s">
        <v>354</v>
      </c>
      <c r="AD80" s="8" t="s">
        <v>348</v>
      </c>
      <c r="AE80" s="8">
        <v>2</v>
      </c>
      <c r="AF80" s="8" t="s">
        <v>340</v>
      </c>
    </row>
    <row r="81" spans="1:40" x14ac:dyDescent="0.2">
      <c r="A81" s="1" t="s">
        <v>498</v>
      </c>
      <c r="B81" s="1" t="s">
        <v>476</v>
      </c>
      <c r="C81" s="1" t="s">
        <v>205</v>
      </c>
      <c r="D81" s="1" t="str">
        <f t="shared" ref="D81" si="29">"abilities/heroes/"&amp;LEFT(A81,LEN(A81)-2)&amp;"/"&amp;A81</f>
        <v>abilities/heroes/nevermore/nevermore_4</v>
      </c>
      <c r="E81" s="1" t="str">
        <f t="shared" si="21"/>
        <v>nevermore_4</v>
      </c>
      <c r="F81" s="1" t="s">
        <v>245</v>
      </c>
      <c r="I81" s="1">
        <v>8</v>
      </c>
      <c r="J81" s="1">
        <v>8</v>
      </c>
      <c r="K81" s="1">
        <v>24</v>
      </c>
      <c r="L81" s="1" t="s">
        <v>501</v>
      </c>
      <c r="N81" s="1">
        <v>1.67</v>
      </c>
      <c r="Q81" s="1">
        <v>50</v>
      </c>
      <c r="S81" s="1">
        <v>1</v>
      </c>
      <c r="T81" s="1">
        <v>2</v>
      </c>
      <c r="U81" s="1" t="s">
        <v>502</v>
      </c>
      <c r="W81" s="1" t="s">
        <v>88</v>
      </c>
      <c r="X81" s="1" t="s">
        <v>208</v>
      </c>
      <c r="Y81" s="1" t="s">
        <v>209</v>
      </c>
      <c r="AA81" s="8" t="s">
        <v>210</v>
      </c>
      <c r="AC81" s="8" t="s">
        <v>219</v>
      </c>
      <c r="AD81" s="8" t="s">
        <v>269</v>
      </c>
      <c r="AE81" s="8" t="s">
        <v>485</v>
      </c>
      <c r="AF81" s="8" t="s">
        <v>272</v>
      </c>
      <c r="AG81" s="8" t="s">
        <v>486</v>
      </c>
      <c r="AH81" s="8" t="s">
        <v>487</v>
      </c>
      <c r="AI81" s="8" t="s">
        <v>504</v>
      </c>
      <c r="AJ81" s="10" t="s">
        <v>505</v>
      </c>
      <c r="AK81" s="10" t="s">
        <v>511</v>
      </c>
      <c r="AL81" s="10" t="s">
        <v>512</v>
      </c>
      <c r="AM81" s="10" t="s">
        <v>513</v>
      </c>
      <c r="AN81" s="10" t="s">
        <v>514</v>
      </c>
    </row>
    <row r="82" spans="1:40" x14ac:dyDescent="0.2">
      <c r="AC82" s="8" t="s">
        <v>508</v>
      </c>
      <c r="AD82" s="8" t="s">
        <v>484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519</v>
      </c>
      <c r="B83" s="1" t="s">
        <v>520</v>
      </c>
      <c r="C83" s="1" t="s">
        <v>205</v>
      </c>
      <c r="D83" s="1" t="str">
        <f t="shared" ref="D83" si="30">"abilities/heroes/"&amp;LEFT(A83,LEN(A83)-2)&amp;"/"&amp;A83</f>
        <v>abilities/heroes/rubick/rubick_0</v>
      </c>
      <c r="E83" s="1" t="str">
        <f t="shared" si="21"/>
        <v>rubick_0</v>
      </c>
      <c r="F83" s="1" t="s">
        <v>206</v>
      </c>
      <c r="I83" s="1">
        <v>1</v>
      </c>
      <c r="S83" s="1">
        <v>1</v>
      </c>
      <c r="T83" s="1">
        <v>1</v>
      </c>
      <c r="W83" s="1" t="s">
        <v>0</v>
      </c>
      <c r="X83" s="1" t="s">
        <v>208</v>
      </c>
      <c r="Y83" s="1" t="s">
        <v>209</v>
      </c>
      <c r="Z83" s="1" t="s">
        <v>524</v>
      </c>
      <c r="AA83" s="8" t="s">
        <v>210</v>
      </c>
      <c r="AB83" s="8" t="s">
        <v>412</v>
      </c>
      <c r="AC83" s="8" t="s">
        <v>269</v>
      </c>
      <c r="AD83" s="8" t="s">
        <v>539</v>
      </c>
      <c r="AE83" s="8" t="s">
        <v>220</v>
      </c>
      <c r="AF83" s="8" t="s">
        <v>541</v>
      </c>
      <c r="AG83" s="8" t="s">
        <v>550</v>
      </c>
      <c r="AH83" s="8" t="s">
        <v>551</v>
      </c>
      <c r="AI83" s="10" t="s">
        <v>552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526</v>
      </c>
      <c r="B85" s="1" t="s">
        <v>530</v>
      </c>
      <c r="C85" s="1" t="s">
        <v>205</v>
      </c>
      <c r="D85" s="1" t="str">
        <f t="shared" ref="D85" si="31">"abilities/heroes/"&amp;LEFT(A85,LEN(A85)-2)&amp;"/"&amp;A85</f>
        <v>abilities/heroes/rubick/rubick_1</v>
      </c>
      <c r="E85" s="1" t="str">
        <f t="shared" si="21"/>
        <v>rubick_1</v>
      </c>
      <c r="F85" s="1" t="s">
        <v>206</v>
      </c>
      <c r="G85" s="1" t="s">
        <v>460</v>
      </c>
      <c r="I85" s="1">
        <v>20</v>
      </c>
      <c r="J85" s="1">
        <v>1</v>
      </c>
      <c r="K85" s="1">
        <v>3</v>
      </c>
      <c r="L85" s="1" t="s">
        <v>448</v>
      </c>
      <c r="M85" s="1">
        <v>1400</v>
      </c>
      <c r="Q85" s="1">
        <v>13</v>
      </c>
      <c r="U85" s="1" t="s">
        <v>218</v>
      </c>
      <c r="W85" s="1" t="s">
        <v>308</v>
      </c>
      <c r="X85" s="1" t="s">
        <v>208</v>
      </c>
      <c r="Y85" s="1" t="s">
        <v>209</v>
      </c>
      <c r="AA85" s="8" t="s">
        <v>210</v>
      </c>
      <c r="AC85" s="8" t="s">
        <v>219</v>
      </c>
      <c r="AD85" s="8" t="s">
        <v>537</v>
      </c>
      <c r="AE85" s="8" t="s">
        <v>523</v>
      </c>
      <c r="AF85" s="8" t="s">
        <v>522</v>
      </c>
      <c r="AG85" s="8" t="s">
        <v>542</v>
      </c>
      <c r="AH85" s="8" t="s">
        <v>220</v>
      </c>
      <c r="AI85" s="8" t="s">
        <v>320</v>
      </c>
      <c r="AJ85" s="10" t="s">
        <v>211</v>
      </c>
    </row>
    <row r="86" spans="1:40" x14ac:dyDescent="0.2">
      <c r="AC86" s="8" t="s">
        <v>343</v>
      </c>
      <c r="AD86" s="8" t="s">
        <v>354</v>
      </c>
      <c r="AE86" s="8">
        <v>0.6</v>
      </c>
      <c r="AF86" s="8">
        <v>2</v>
      </c>
      <c r="AG86" s="8" t="s">
        <v>347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527</v>
      </c>
      <c r="B87" s="1" t="s">
        <v>531</v>
      </c>
      <c r="C87" s="1" t="s">
        <v>205</v>
      </c>
      <c r="D87" s="1" t="str">
        <f t="shared" ref="D87" si="32">"abilities/heroes/"&amp;LEFT(A87,LEN(A87)-2)&amp;"/"&amp;A87</f>
        <v>abilities/heroes/rubick/rubick_2</v>
      </c>
      <c r="E87" s="1" t="str">
        <f t="shared" si="21"/>
        <v>rubick_2</v>
      </c>
      <c r="F87" s="1" t="s">
        <v>206</v>
      </c>
      <c r="I87" s="1">
        <v>20</v>
      </c>
      <c r="J87" s="1">
        <v>1</v>
      </c>
      <c r="K87" s="1">
        <v>3</v>
      </c>
      <c r="L87" s="1" t="s">
        <v>545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534</v>
      </c>
      <c r="W87" s="1" t="s">
        <v>308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288</v>
      </c>
      <c r="AF87" s="8" t="s">
        <v>220</v>
      </c>
      <c r="AG87" s="8" t="s">
        <v>548</v>
      </c>
      <c r="AH87" s="8" t="s">
        <v>549</v>
      </c>
      <c r="AI87" s="8" t="s">
        <v>546</v>
      </c>
      <c r="AJ87" s="8" t="s">
        <v>547</v>
      </c>
      <c r="AK87" s="10" t="s">
        <v>553</v>
      </c>
      <c r="AL87" s="10" t="s">
        <v>211</v>
      </c>
    </row>
    <row r="88" spans="1:40" x14ac:dyDescent="0.2">
      <c r="AC88" s="8" t="s">
        <v>345</v>
      </c>
      <c r="AD88" s="8" t="s">
        <v>347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  <c r="AL88" s="10" t="s">
        <v>681</v>
      </c>
    </row>
    <row r="89" spans="1:40" x14ac:dyDescent="0.2">
      <c r="A89" s="1" t="s">
        <v>528</v>
      </c>
      <c r="B89" s="1" t="s">
        <v>532</v>
      </c>
      <c r="C89" s="1" t="s">
        <v>205</v>
      </c>
      <c r="D89" s="1" t="str">
        <f t="shared" ref="D89" si="33">"abilities/heroes/"&amp;LEFT(A89,LEN(A89)-2)&amp;"/"&amp;A89</f>
        <v>abilities/heroes/rubick/rubick_3</v>
      </c>
      <c r="E89" s="1" t="str">
        <f t="shared" si="21"/>
        <v>rubick_3</v>
      </c>
      <c r="F89" s="1" t="s">
        <v>206</v>
      </c>
      <c r="G89" s="1" t="s">
        <v>460</v>
      </c>
      <c r="I89" s="1">
        <v>20</v>
      </c>
      <c r="J89" s="1">
        <v>1</v>
      </c>
      <c r="K89" s="1">
        <v>3</v>
      </c>
      <c r="L89" s="1" t="s">
        <v>226</v>
      </c>
      <c r="M89" s="1">
        <v>1400</v>
      </c>
      <c r="Q89" s="1">
        <v>18</v>
      </c>
      <c r="S89" s="1">
        <v>1</v>
      </c>
      <c r="T89" s="1">
        <v>3</v>
      </c>
      <c r="U89" s="1" t="s">
        <v>535</v>
      </c>
      <c r="W89" s="1" t="s">
        <v>308</v>
      </c>
      <c r="X89" s="1" t="s">
        <v>208</v>
      </c>
      <c r="Y89" s="1" t="s">
        <v>209</v>
      </c>
      <c r="Z89" s="1" t="s">
        <v>524</v>
      </c>
      <c r="AA89" s="8" t="s">
        <v>210</v>
      </c>
      <c r="AB89" s="8" t="s">
        <v>412</v>
      </c>
      <c r="AC89" s="8" t="s">
        <v>219</v>
      </c>
      <c r="AD89" s="8" t="s">
        <v>269</v>
      </c>
      <c r="AE89" s="8" t="s">
        <v>288</v>
      </c>
      <c r="AF89" s="8" t="s">
        <v>220</v>
      </c>
      <c r="AG89" s="8" t="s">
        <v>232</v>
      </c>
      <c r="AH89" s="8" t="s">
        <v>320</v>
      </c>
      <c r="AI89" s="8" t="s">
        <v>546</v>
      </c>
      <c r="AJ89" s="8" t="s">
        <v>233</v>
      </c>
    </row>
    <row r="90" spans="1:40" x14ac:dyDescent="0.2">
      <c r="AC90" s="8" t="s">
        <v>345</v>
      </c>
      <c r="AD90" s="8" t="s">
        <v>347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529</v>
      </c>
      <c r="B91" s="1" t="s">
        <v>533</v>
      </c>
      <c r="C91" s="1" t="s">
        <v>205</v>
      </c>
      <c r="D91" s="1" t="str">
        <f t="shared" ref="D91" si="34">"abilities/heroes/"&amp;LEFT(A91,LEN(A91)-2)&amp;"/"&amp;A91</f>
        <v>abilities/heroes/rubick/rubick_4</v>
      </c>
      <c r="E91" s="1" t="str">
        <f t="shared" si="21"/>
        <v>rubick_4</v>
      </c>
      <c r="F91" s="1" t="s">
        <v>245</v>
      </c>
      <c r="G91" s="1" t="s">
        <v>460</v>
      </c>
      <c r="I91" s="1">
        <v>8</v>
      </c>
      <c r="J91" s="1">
        <v>8</v>
      </c>
      <c r="K91" s="1">
        <v>24</v>
      </c>
      <c r="L91" s="1" t="s">
        <v>410</v>
      </c>
      <c r="M91" s="1">
        <v>1000</v>
      </c>
      <c r="Q91" s="1">
        <v>40</v>
      </c>
      <c r="S91" s="1">
        <v>1</v>
      </c>
      <c r="T91" s="1">
        <v>4</v>
      </c>
      <c r="U91" s="1" t="s">
        <v>536</v>
      </c>
      <c r="W91" s="1" t="s">
        <v>308</v>
      </c>
      <c r="X91" s="1" t="s">
        <v>208</v>
      </c>
      <c r="Y91" s="1" t="s">
        <v>209</v>
      </c>
      <c r="Z91" s="1" t="s">
        <v>524</v>
      </c>
      <c r="AA91" s="8" t="s">
        <v>210</v>
      </c>
      <c r="AB91" s="8" t="s">
        <v>412</v>
      </c>
      <c r="AC91" s="8" t="s">
        <v>219</v>
      </c>
      <c r="AD91" s="8" t="s">
        <v>269</v>
      </c>
      <c r="AE91" s="8" t="s">
        <v>278</v>
      </c>
      <c r="AF91" s="8" t="s">
        <v>418</v>
      </c>
      <c r="AG91" s="8" t="s">
        <v>220</v>
      </c>
      <c r="AH91" s="8" t="s">
        <v>320</v>
      </c>
      <c r="AI91" s="10" t="s">
        <v>525</v>
      </c>
      <c r="AJ91" s="10" t="s">
        <v>318</v>
      </c>
      <c r="AK91" s="10" t="s">
        <v>403</v>
      </c>
      <c r="AL91" s="10" t="s">
        <v>234</v>
      </c>
      <c r="AM91" s="10" t="s">
        <v>679</v>
      </c>
    </row>
    <row r="92" spans="1:40" x14ac:dyDescent="0.2">
      <c r="AC92" s="8" t="s">
        <v>538</v>
      </c>
      <c r="AD92" s="8" t="s">
        <v>540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  <c r="AM92" s="10" t="s">
        <v>680</v>
      </c>
    </row>
    <row r="93" spans="1:40" x14ac:dyDescent="0.2">
      <c r="A93" s="1" t="s">
        <v>554</v>
      </c>
      <c r="B93" s="1" t="s">
        <v>555</v>
      </c>
      <c r="C93" s="1" t="s">
        <v>205</v>
      </c>
      <c r="D93" s="1" t="str">
        <f t="shared" ref="D93" si="35">"abilities/heroes/"&amp;LEFT(A93,LEN(A93)-2)&amp;"/"&amp;A93</f>
        <v>abilities/heroes/windrunner/windrunner_0</v>
      </c>
      <c r="E93" s="1" t="str">
        <f t="shared" si="21"/>
        <v>windrunner_0</v>
      </c>
      <c r="F93" s="1" t="s">
        <v>206</v>
      </c>
      <c r="G93" s="1" t="s">
        <v>459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567</v>
      </c>
      <c r="X93" s="1" t="s">
        <v>208</v>
      </c>
      <c r="Y93" s="1" t="s">
        <v>209</v>
      </c>
      <c r="Z93" s="1" t="s">
        <v>524</v>
      </c>
      <c r="AA93" s="8" t="s">
        <v>364</v>
      </c>
      <c r="AB93" s="8" t="s">
        <v>412</v>
      </c>
      <c r="AC93" s="8" t="s">
        <v>282</v>
      </c>
      <c r="AD93" s="8" t="s">
        <v>238</v>
      </c>
      <c r="AE93" s="8" t="s">
        <v>568</v>
      </c>
      <c r="AF93" s="8" t="s">
        <v>232</v>
      </c>
      <c r="AG93" s="8" t="s">
        <v>560</v>
      </c>
      <c r="AH93" s="8" t="s">
        <v>235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561</v>
      </c>
      <c r="B95" s="1" t="s">
        <v>556</v>
      </c>
      <c r="C95" s="1" t="s">
        <v>205</v>
      </c>
      <c r="D95" s="1" t="str">
        <f t="shared" ref="D95" si="36">"abilities/heroes/"&amp;LEFT(A95,LEN(A95)-2)&amp;"/"&amp;A95</f>
        <v>abilities/heroes/windrunner/windrunner_1</v>
      </c>
      <c r="E95" s="1" t="str">
        <f t="shared" si="21"/>
        <v>windrunner_1</v>
      </c>
      <c r="F95" s="1" t="s">
        <v>206</v>
      </c>
      <c r="I95" s="1">
        <v>20</v>
      </c>
      <c r="J95" s="1">
        <v>1</v>
      </c>
      <c r="K95" s="1">
        <v>3</v>
      </c>
      <c r="L95" s="1" t="s">
        <v>226</v>
      </c>
      <c r="M95" s="1">
        <v>1500</v>
      </c>
      <c r="Q95" s="1">
        <v>9</v>
      </c>
      <c r="S95" s="1">
        <v>1</v>
      </c>
      <c r="T95" s="1">
        <v>4</v>
      </c>
      <c r="U95" s="1" t="s">
        <v>372</v>
      </c>
      <c r="V95" s="1">
        <v>1</v>
      </c>
      <c r="W95" s="1" t="s">
        <v>572</v>
      </c>
      <c r="X95" s="1" t="s">
        <v>208</v>
      </c>
      <c r="Y95" s="1" t="s">
        <v>209</v>
      </c>
      <c r="AA95" s="8" t="s">
        <v>364</v>
      </c>
      <c r="AC95" s="8" t="s">
        <v>219</v>
      </c>
      <c r="AD95" s="8" t="s">
        <v>269</v>
      </c>
      <c r="AE95" s="8" t="s">
        <v>570</v>
      </c>
      <c r="AF95" s="8" t="s">
        <v>273</v>
      </c>
      <c r="AG95" s="8" t="s">
        <v>220</v>
      </c>
      <c r="AH95" s="8" t="s">
        <v>288</v>
      </c>
      <c r="AI95" s="8" t="s">
        <v>553</v>
      </c>
      <c r="AJ95" s="10" t="s">
        <v>585</v>
      </c>
      <c r="AK95" s="10" t="s">
        <v>584</v>
      </c>
      <c r="AL95" s="10" t="s">
        <v>293</v>
      </c>
    </row>
    <row r="96" spans="1:40" x14ac:dyDescent="0.2">
      <c r="AC96" s="8" t="s">
        <v>569</v>
      </c>
      <c r="AD96" s="8" t="s">
        <v>354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10">
        <v>800</v>
      </c>
      <c r="AK96" s="10">
        <v>60</v>
      </c>
      <c r="AL96" s="10">
        <v>15</v>
      </c>
    </row>
    <row r="97" spans="1:39" x14ac:dyDescent="0.2">
      <c r="A97" s="1" t="s">
        <v>562</v>
      </c>
      <c r="B97" s="1" t="s">
        <v>557</v>
      </c>
      <c r="C97" s="1" t="s">
        <v>205</v>
      </c>
      <c r="D97" s="1" t="str">
        <f t="shared" ref="D97" si="37">"abilities/heroes/"&amp;LEFT(A97,LEN(A97)-2)&amp;"/"&amp;A97</f>
        <v>abilities/heroes/windrunner/windrunner_2</v>
      </c>
      <c r="E97" s="1" t="str">
        <f t="shared" si="21"/>
        <v>windrunner_2</v>
      </c>
      <c r="F97" s="1" t="s">
        <v>206</v>
      </c>
      <c r="G97" s="1" t="s">
        <v>459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208</v>
      </c>
      <c r="Y97" s="1" t="s">
        <v>209</v>
      </c>
      <c r="AA97" s="8" t="s">
        <v>210</v>
      </c>
      <c r="AC97" s="8" t="s">
        <v>586</v>
      </c>
      <c r="AD97" s="8" t="s">
        <v>219</v>
      </c>
      <c r="AE97" s="8" t="s">
        <v>269</v>
      </c>
      <c r="AF97" s="8" t="s">
        <v>232</v>
      </c>
      <c r="AG97" s="8" t="s">
        <v>211</v>
      </c>
      <c r="AH97" s="8" t="s">
        <v>272</v>
      </c>
      <c r="AI97" s="8" t="s">
        <v>468</v>
      </c>
      <c r="AJ97" s="10" t="s">
        <v>587</v>
      </c>
      <c r="AK97" s="10" t="s">
        <v>313</v>
      </c>
      <c r="AL97" s="10" t="s">
        <v>273</v>
      </c>
    </row>
    <row r="98" spans="1:39" x14ac:dyDescent="0.2">
      <c r="AC98" s="8">
        <v>3</v>
      </c>
      <c r="AD98" s="8" t="s">
        <v>345</v>
      </c>
      <c r="AE98" s="8" t="s">
        <v>347</v>
      </c>
      <c r="AF98" s="8">
        <v>12</v>
      </c>
      <c r="AG98" s="8">
        <v>1</v>
      </c>
      <c r="AH98" s="8">
        <v>1200</v>
      </c>
      <c r="AI98" s="8">
        <v>150</v>
      </c>
      <c r="AJ98" s="10" t="s">
        <v>347</v>
      </c>
      <c r="AK98" s="10">
        <v>4</v>
      </c>
      <c r="AL98" s="10">
        <v>1200</v>
      </c>
    </row>
    <row r="99" spans="1:39" x14ac:dyDescent="0.2">
      <c r="A99" s="1" t="s">
        <v>563</v>
      </c>
      <c r="B99" s="1" t="s">
        <v>558</v>
      </c>
      <c r="C99" s="1" t="s">
        <v>205</v>
      </c>
      <c r="D99" s="1" t="str">
        <f t="shared" ref="D99" si="38">"abilities/heroes/"&amp;LEFT(A99,LEN(A99)-2)&amp;"/"&amp;A99</f>
        <v>abilities/heroes/windrunner/windrunner_3</v>
      </c>
      <c r="E99" s="1" t="str">
        <f t="shared" si="21"/>
        <v>windrunner_3</v>
      </c>
      <c r="F99" s="1" t="s">
        <v>206</v>
      </c>
      <c r="G99" s="1" t="s">
        <v>459</v>
      </c>
      <c r="I99" s="1">
        <v>20</v>
      </c>
      <c r="J99" s="1">
        <v>1</v>
      </c>
      <c r="K99" s="1">
        <v>3</v>
      </c>
      <c r="L99" s="1" t="s">
        <v>306</v>
      </c>
      <c r="O99" s="1">
        <v>2</v>
      </c>
      <c r="P99" s="1">
        <v>12</v>
      </c>
      <c r="U99" s="1" t="s">
        <v>307</v>
      </c>
      <c r="W99" s="1" t="s">
        <v>571</v>
      </c>
      <c r="X99" s="1" t="s">
        <v>208</v>
      </c>
      <c r="Y99" s="1" t="s">
        <v>209</v>
      </c>
      <c r="AC99" s="8" t="s">
        <v>251</v>
      </c>
      <c r="AD99" s="8" t="s">
        <v>579</v>
      </c>
      <c r="AE99" s="8" t="s">
        <v>580</v>
      </c>
      <c r="AF99" s="8" t="s">
        <v>220</v>
      </c>
      <c r="AG99" s="8" t="s">
        <v>232</v>
      </c>
      <c r="AI99" s="8"/>
      <c r="AJ99" s="8"/>
    </row>
    <row r="100" spans="1:39" x14ac:dyDescent="0.2">
      <c r="AC100" s="8" t="s">
        <v>575</v>
      </c>
      <c r="AD100" s="8" t="s">
        <v>578</v>
      </c>
      <c r="AE100" s="8" t="s">
        <v>391</v>
      </c>
      <c r="AF100" s="8">
        <v>325</v>
      </c>
      <c r="AG100" s="8">
        <v>4</v>
      </c>
      <c r="AI100" s="8"/>
      <c r="AJ100" s="8"/>
    </row>
    <row r="101" spans="1:39" x14ac:dyDescent="0.2">
      <c r="A101" s="1" t="s">
        <v>564</v>
      </c>
      <c r="B101" s="1" t="s">
        <v>559</v>
      </c>
      <c r="C101" s="1" t="s">
        <v>205</v>
      </c>
      <c r="D101" s="1" t="str">
        <f t="shared" ref="D101" si="39">"abilities/heroes/"&amp;LEFT(A101,LEN(A101)-2)&amp;"/"&amp;A101</f>
        <v>abilities/heroes/windrunner/windrunner_4</v>
      </c>
      <c r="E101" s="1" t="str">
        <f t="shared" si="21"/>
        <v>windrunner_4</v>
      </c>
      <c r="F101" s="1" t="s">
        <v>245</v>
      </c>
      <c r="I101" s="1">
        <v>8</v>
      </c>
      <c r="J101" s="1">
        <v>8</v>
      </c>
      <c r="K101" s="1">
        <v>24</v>
      </c>
      <c r="L101" s="1" t="s">
        <v>448</v>
      </c>
      <c r="N101" s="1">
        <v>0.3</v>
      </c>
      <c r="Q101" s="1">
        <v>90</v>
      </c>
      <c r="S101" s="1">
        <v>1</v>
      </c>
      <c r="T101" s="1" t="s">
        <v>583</v>
      </c>
      <c r="U101" s="1" t="s">
        <v>502</v>
      </c>
      <c r="W101" s="1" t="s">
        <v>88</v>
      </c>
      <c r="X101" s="1" t="s">
        <v>208</v>
      </c>
      <c r="Y101" s="1" t="s">
        <v>209</v>
      </c>
      <c r="AA101" s="8" t="s">
        <v>364</v>
      </c>
      <c r="AB101" s="8" t="s">
        <v>412</v>
      </c>
      <c r="AC101" s="8" t="s">
        <v>219</v>
      </c>
      <c r="AD101" s="8" t="s">
        <v>269</v>
      </c>
      <c r="AE101" s="8" t="s">
        <v>573</v>
      </c>
      <c r="AF101" s="8" t="s">
        <v>220</v>
      </c>
      <c r="AG101" s="8" t="s">
        <v>232</v>
      </c>
      <c r="AH101" s="8" t="s">
        <v>288</v>
      </c>
      <c r="AI101" s="10" t="s">
        <v>320</v>
      </c>
      <c r="AJ101" s="10" t="s">
        <v>212</v>
      </c>
      <c r="AK101" s="10" t="s">
        <v>581</v>
      </c>
      <c r="AL101" s="10" t="s">
        <v>233</v>
      </c>
      <c r="AM101" s="10" t="s">
        <v>582</v>
      </c>
    </row>
    <row r="102" spans="1:39" x14ac:dyDescent="0.2">
      <c r="AC102" s="8" t="s">
        <v>538</v>
      </c>
      <c r="AD102" s="8" t="s">
        <v>574</v>
      </c>
      <c r="AE102" s="8">
        <v>200</v>
      </c>
      <c r="AF102" s="8">
        <v>1200</v>
      </c>
      <c r="AG102" s="8">
        <v>4</v>
      </c>
      <c r="AH102" s="8">
        <v>0.5</v>
      </c>
      <c r="AI102" s="10">
        <v>0.03</v>
      </c>
      <c r="AJ102" s="10">
        <v>40</v>
      </c>
      <c r="AK102" s="10">
        <v>4</v>
      </c>
      <c r="AL102" s="10">
        <v>8</v>
      </c>
      <c r="AM102" s="10">
        <v>1</v>
      </c>
    </row>
    <row r="103" spans="1:39" x14ac:dyDescent="0.2">
      <c r="A103" s="1" t="s">
        <v>591</v>
      </c>
      <c r="B103" s="1" t="s">
        <v>592</v>
      </c>
      <c r="C103" s="1" t="s">
        <v>205</v>
      </c>
      <c r="D103" s="1" t="str">
        <f t="shared" ref="D103" si="40">"abilities/heroes/"&amp;LEFT(A103,LEN(A103)-2)&amp;"/"&amp;A103</f>
        <v>abilities/heroes/crystal_maiden/crystal_maiden_0</v>
      </c>
      <c r="E103" s="1" t="str">
        <f t="shared" si="21"/>
        <v>crystal_maiden_0</v>
      </c>
      <c r="F103" s="1" t="s">
        <v>206</v>
      </c>
      <c r="I103" s="1">
        <v>1</v>
      </c>
      <c r="L103" s="1" t="s">
        <v>226</v>
      </c>
      <c r="M103" s="1">
        <v>1200</v>
      </c>
      <c r="N103" s="1">
        <v>0.3</v>
      </c>
      <c r="Q103" s="1">
        <v>15</v>
      </c>
      <c r="S103" s="1">
        <v>1</v>
      </c>
      <c r="T103" s="1" t="s">
        <v>618</v>
      </c>
      <c r="U103" s="1">
        <v>50</v>
      </c>
      <c r="W103" s="1" t="s">
        <v>5</v>
      </c>
      <c r="X103" s="1" t="s">
        <v>597</v>
      </c>
      <c r="Y103" s="1" t="s">
        <v>209</v>
      </c>
      <c r="AC103" s="8" t="s">
        <v>232</v>
      </c>
      <c r="AD103" s="8" t="s">
        <v>220</v>
      </c>
      <c r="AE103" s="8" t="s">
        <v>580</v>
      </c>
      <c r="AF103" s="8" t="s">
        <v>599</v>
      </c>
      <c r="AG103" s="8" t="s">
        <v>600</v>
      </c>
      <c r="AH103" s="8" t="s">
        <v>550</v>
      </c>
      <c r="AI103" s="10" t="s">
        <v>617</v>
      </c>
    </row>
    <row r="104" spans="1:39" x14ac:dyDescent="0.2">
      <c r="AC104" s="8">
        <v>5</v>
      </c>
      <c r="AD104" s="8">
        <v>275</v>
      </c>
      <c r="AE104" s="8">
        <v>8</v>
      </c>
      <c r="AF104" s="8">
        <v>900</v>
      </c>
      <c r="AG104" s="8">
        <v>10</v>
      </c>
      <c r="AH104" s="8">
        <v>5</v>
      </c>
      <c r="AI104" s="10">
        <v>2</v>
      </c>
    </row>
    <row r="105" spans="1:39" x14ac:dyDescent="0.2">
      <c r="A105" s="1" t="s">
        <v>601</v>
      </c>
      <c r="B105" s="1" t="s">
        <v>593</v>
      </c>
      <c r="C105" s="1" t="s">
        <v>205</v>
      </c>
      <c r="D105" s="1" t="str">
        <f t="shared" ref="D105" si="41">"abilities/heroes/"&amp;LEFT(A105,LEN(A105)-2)&amp;"/"&amp;A105</f>
        <v>abilities/heroes/crystal_maiden/crystal_maiden_1</v>
      </c>
      <c r="E105" s="1" t="str">
        <f t="shared" si="21"/>
        <v>crystal_maiden_1</v>
      </c>
      <c r="F105" s="1" t="s">
        <v>206</v>
      </c>
      <c r="I105" s="1">
        <v>20</v>
      </c>
      <c r="J105" s="1">
        <v>1</v>
      </c>
      <c r="K105" s="1">
        <v>3</v>
      </c>
      <c r="L105" s="1" t="s">
        <v>448</v>
      </c>
      <c r="N105" s="1">
        <v>0.3</v>
      </c>
      <c r="O105" s="1">
        <v>3</v>
      </c>
      <c r="P105" s="1">
        <v>15</v>
      </c>
      <c r="U105" s="1" t="s">
        <v>218</v>
      </c>
      <c r="W105" s="1" t="s">
        <v>88</v>
      </c>
      <c r="X105" s="1" t="s">
        <v>208</v>
      </c>
      <c r="Y105" s="1" t="s">
        <v>209</v>
      </c>
      <c r="AA105" s="8" t="s">
        <v>210</v>
      </c>
      <c r="AC105" s="8" t="s">
        <v>219</v>
      </c>
      <c r="AD105" s="8" t="s">
        <v>269</v>
      </c>
      <c r="AE105" s="8" t="s">
        <v>598</v>
      </c>
      <c r="AF105" s="8" t="s">
        <v>232</v>
      </c>
      <c r="AG105" s="8" t="s">
        <v>278</v>
      </c>
      <c r="AH105" s="8" t="s">
        <v>418</v>
      </c>
      <c r="AI105" s="10" t="s">
        <v>220</v>
      </c>
      <c r="AJ105" s="10" t="s">
        <v>608</v>
      </c>
      <c r="AK105" s="10" t="s">
        <v>609</v>
      </c>
      <c r="AL105" s="10" t="s">
        <v>613</v>
      </c>
    </row>
    <row r="106" spans="1:39" x14ac:dyDescent="0.2">
      <c r="AC106" s="8" t="s">
        <v>384</v>
      </c>
      <c r="AD106" s="8" t="s">
        <v>349</v>
      </c>
      <c r="AE106" s="8">
        <v>1.2</v>
      </c>
      <c r="AF106" s="8">
        <v>6</v>
      </c>
      <c r="AG106" s="8" t="s">
        <v>606</v>
      </c>
      <c r="AH106" s="8" t="s">
        <v>606</v>
      </c>
      <c r="AI106" s="10">
        <v>900</v>
      </c>
      <c r="AJ106" s="10">
        <v>100</v>
      </c>
      <c r="AK106" s="10">
        <v>30</v>
      </c>
      <c r="AL106" s="10">
        <v>0.3</v>
      </c>
    </row>
    <row r="107" spans="1:39" x14ac:dyDescent="0.2">
      <c r="A107" s="1" t="s">
        <v>602</v>
      </c>
      <c r="B107" s="1" t="s">
        <v>594</v>
      </c>
      <c r="C107" s="1" t="s">
        <v>205</v>
      </c>
      <c r="D107" s="1" t="str">
        <f t="shared" ref="D107" si="42">"abilities/heroes/"&amp;LEFT(A107,LEN(A107)-2)&amp;"/"&amp;A107</f>
        <v>abilities/heroes/crystal_maiden/crystal_maiden_2</v>
      </c>
      <c r="E107" s="1" t="str">
        <f t="shared" si="21"/>
        <v>crystal_maiden_2</v>
      </c>
      <c r="F107" s="1" t="s">
        <v>206</v>
      </c>
      <c r="I107" s="1">
        <v>20</v>
      </c>
      <c r="J107" s="1">
        <v>1</v>
      </c>
      <c r="K107" s="1">
        <v>3</v>
      </c>
      <c r="L107" s="1" t="s">
        <v>448</v>
      </c>
      <c r="M107" s="1">
        <v>800</v>
      </c>
      <c r="N107" s="1">
        <v>0.3</v>
      </c>
      <c r="Q107" s="1">
        <v>10</v>
      </c>
      <c r="U107" s="1" t="s">
        <v>605</v>
      </c>
      <c r="W107" s="1" t="s">
        <v>308</v>
      </c>
      <c r="X107" s="1" t="s">
        <v>208</v>
      </c>
      <c r="Y107" s="1" t="s">
        <v>209</v>
      </c>
      <c r="AA107" s="8" t="s">
        <v>210</v>
      </c>
      <c r="AC107" s="8" t="s">
        <v>219</v>
      </c>
      <c r="AD107" s="8" t="s">
        <v>269</v>
      </c>
      <c r="AE107" s="8" t="s">
        <v>232</v>
      </c>
      <c r="AF107" s="8" t="s">
        <v>220</v>
      </c>
      <c r="AG107" s="8" t="s">
        <v>312</v>
      </c>
      <c r="AH107" s="10" t="s">
        <v>607</v>
      </c>
      <c r="AI107" s="10" t="s">
        <v>320</v>
      </c>
      <c r="AJ107" s="10" t="s">
        <v>288</v>
      </c>
      <c r="AK107" s="10" t="s">
        <v>610</v>
      </c>
      <c r="AL107" s="10" t="s">
        <v>608</v>
      </c>
    </row>
    <row r="108" spans="1:39" x14ac:dyDescent="0.2">
      <c r="AC108" s="8" t="s">
        <v>345</v>
      </c>
      <c r="AD108" s="8" t="s">
        <v>347</v>
      </c>
      <c r="AE108" s="8">
        <v>6</v>
      </c>
      <c r="AF108" s="8">
        <v>300</v>
      </c>
      <c r="AG108" s="8">
        <v>50</v>
      </c>
      <c r="AH108" s="10">
        <v>3</v>
      </c>
      <c r="AI108" s="10">
        <v>0.8</v>
      </c>
      <c r="AJ108" s="10">
        <v>0.4</v>
      </c>
      <c r="AK108" s="10">
        <v>0.05</v>
      </c>
      <c r="AL108" s="10">
        <v>30</v>
      </c>
    </row>
    <row r="109" spans="1:39" x14ac:dyDescent="0.2">
      <c r="A109" s="1" t="s">
        <v>603</v>
      </c>
      <c r="B109" s="1" t="s">
        <v>595</v>
      </c>
      <c r="C109" s="1" t="s">
        <v>205</v>
      </c>
      <c r="D109" s="1" t="str">
        <f t="shared" ref="D109" si="43">"abilities/heroes/"&amp;LEFT(A109,LEN(A109)-2)&amp;"/"&amp;A109</f>
        <v>abilities/heroes/crystal_maiden/crystal_maiden_3</v>
      </c>
      <c r="E109" s="1" t="str">
        <f t="shared" si="21"/>
        <v>crystal_maiden_3</v>
      </c>
      <c r="F109" s="1" t="s">
        <v>206</v>
      </c>
      <c r="I109" s="1">
        <v>20</v>
      </c>
      <c r="J109" s="1">
        <v>1</v>
      </c>
      <c r="K109" s="1">
        <v>3</v>
      </c>
      <c r="S109" s="1">
        <v>1</v>
      </c>
      <c r="T109" s="1">
        <v>4</v>
      </c>
      <c r="W109" s="1" t="s">
        <v>0</v>
      </c>
      <c r="X109" s="1" t="s">
        <v>227</v>
      </c>
      <c r="Y109" s="1" t="s">
        <v>209</v>
      </c>
      <c r="AC109" s="8" t="s">
        <v>611</v>
      </c>
      <c r="AD109" s="8" t="s">
        <v>230</v>
      </c>
      <c r="AE109" s="8" t="s">
        <v>612</v>
      </c>
      <c r="AF109" s="8" t="s">
        <v>619</v>
      </c>
      <c r="AG109" s="8" t="s">
        <v>620</v>
      </c>
    </row>
    <row r="110" spans="1:39" x14ac:dyDescent="0.2">
      <c r="AC110" s="8" t="s">
        <v>621</v>
      </c>
      <c r="AD110" s="8" t="s">
        <v>387</v>
      </c>
      <c r="AE110" s="8">
        <v>15</v>
      </c>
      <c r="AF110" s="8">
        <v>3</v>
      </c>
      <c r="AG110" s="8">
        <v>1</v>
      </c>
    </row>
    <row r="111" spans="1:39" x14ac:dyDescent="0.2">
      <c r="A111" s="1" t="s">
        <v>604</v>
      </c>
      <c r="B111" s="1" t="s">
        <v>596</v>
      </c>
      <c r="C111" s="1" t="s">
        <v>205</v>
      </c>
      <c r="D111" s="1" t="str">
        <f t="shared" ref="D111" si="44">"abilities/heroes/"&amp;LEFT(A111,LEN(A111)-2)&amp;"/"&amp;A111</f>
        <v>abilities/heroes/crystal_maiden/crystal_maiden_4</v>
      </c>
      <c r="E111" s="1" t="str">
        <f t="shared" si="21"/>
        <v>crystal_maiden_4</v>
      </c>
      <c r="F111" s="1" t="s">
        <v>245</v>
      </c>
      <c r="I111" s="1">
        <v>8</v>
      </c>
      <c r="J111" s="1">
        <v>8</v>
      </c>
      <c r="K111" s="1">
        <v>24</v>
      </c>
      <c r="L111" s="1" t="s">
        <v>448</v>
      </c>
      <c r="N111" s="1">
        <v>0.3</v>
      </c>
      <c r="Q111" s="1">
        <v>30</v>
      </c>
      <c r="S111" s="1">
        <v>1</v>
      </c>
      <c r="T111" s="1">
        <v>2</v>
      </c>
      <c r="U111" s="1" t="s">
        <v>502</v>
      </c>
      <c r="W111" s="1" t="s">
        <v>88</v>
      </c>
      <c r="X111" s="1" t="s">
        <v>208</v>
      </c>
      <c r="Y111" s="1" t="s">
        <v>209</v>
      </c>
      <c r="AA111" s="8" t="s">
        <v>210</v>
      </c>
      <c r="AC111" s="8" t="s">
        <v>219</v>
      </c>
      <c r="AD111" s="8" t="s">
        <v>269</v>
      </c>
      <c r="AE111" s="8" t="s">
        <v>220</v>
      </c>
      <c r="AF111" s="8" t="s">
        <v>232</v>
      </c>
      <c r="AG111" s="8" t="s">
        <v>326</v>
      </c>
      <c r="AH111" s="8" t="s">
        <v>403</v>
      </c>
      <c r="AI111" s="10" t="s">
        <v>614</v>
      </c>
      <c r="AJ111" s="10" t="s">
        <v>616</v>
      </c>
    </row>
    <row r="112" spans="1:39" x14ac:dyDescent="0.2">
      <c r="AC112" s="8" t="s">
        <v>342</v>
      </c>
      <c r="AD112" s="8" t="s">
        <v>350</v>
      </c>
      <c r="AE112" s="8">
        <v>900</v>
      </c>
      <c r="AF112" s="8">
        <v>8</v>
      </c>
      <c r="AG112" s="8">
        <v>4</v>
      </c>
      <c r="AH112" s="8" t="s">
        <v>615</v>
      </c>
      <c r="AI112" s="10">
        <v>150</v>
      </c>
      <c r="AJ112" s="10">
        <v>1</v>
      </c>
    </row>
    <row r="113" spans="1:37" x14ac:dyDescent="0.2">
      <c r="A113" s="1" t="s">
        <v>622</v>
      </c>
      <c r="B113" s="1" t="s">
        <v>623</v>
      </c>
      <c r="C113" s="1" t="s">
        <v>205</v>
      </c>
      <c r="D113" s="1" t="str">
        <f t="shared" ref="D113" si="45">"abilities/heroes/"&amp;LEFT(A113,LEN(A113)-2)&amp;"/"&amp;A113</f>
        <v>abilities/heroes/oracle/oracle_0</v>
      </c>
      <c r="E113" s="1" t="str">
        <f t="shared" si="21"/>
        <v>oracle_0</v>
      </c>
      <c r="F113" s="1" t="s">
        <v>206</v>
      </c>
      <c r="I113" s="1">
        <v>1</v>
      </c>
      <c r="L113" s="1" t="s">
        <v>306</v>
      </c>
      <c r="M113" s="1">
        <v>1200</v>
      </c>
      <c r="N113" s="1">
        <v>0.15</v>
      </c>
      <c r="Q113" s="1">
        <v>30</v>
      </c>
      <c r="R113" s="1">
        <v>1</v>
      </c>
      <c r="S113" s="1">
        <v>1</v>
      </c>
      <c r="T113" s="1">
        <v>1</v>
      </c>
      <c r="U113" s="1">
        <v>50</v>
      </c>
      <c r="W113" s="1" t="s">
        <v>649</v>
      </c>
      <c r="X113" s="1" t="s">
        <v>597</v>
      </c>
      <c r="Y113" s="1" t="s">
        <v>209</v>
      </c>
      <c r="Z113" s="1" t="s">
        <v>524</v>
      </c>
      <c r="AB113" s="8" t="s">
        <v>412</v>
      </c>
      <c r="AC113" s="8" t="s">
        <v>630</v>
      </c>
      <c r="AD113" s="8" t="s">
        <v>631</v>
      </c>
      <c r="AE113" s="8" t="s">
        <v>628</v>
      </c>
      <c r="AF113" s="8" t="s">
        <v>629</v>
      </c>
      <c r="AG113" s="8" t="s">
        <v>232</v>
      </c>
    </row>
    <row r="114" spans="1:37" x14ac:dyDescent="0.2">
      <c r="AC114" s="8">
        <v>5</v>
      </c>
      <c r="AD114" s="8">
        <v>30</v>
      </c>
      <c r="AE114" s="8">
        <v>50</v>
      </c>
      <c r="AF114" s="8">
        <v>1</v>
      </c>
      <c r="AG114" s="8">
        <v>15</v>
      </c>
    </row>
    <row r="115" spans="1:37" x14ac:dyDescent="0.2">
      <c r="A115" s="1" t="s">
        <v>642</v>
      </c>
      <c r="B115" s="1" t="s">
        <v>624</v>
      </c>
      <c r="C115" s="1" t="s">
        <v>205</v>
      </c>
      <c r="D115" s="1" t="str">
        <f t="shared" ref="D115" si="46">"abilities/heroes/"&amp;LEFT(A115,LEN(A115)-2)&amp;"/"&amp;A115</f>
        <v>abilities/heroes/oracle/oracle_1</v>
      </c>
      <c r="E115" s="1" t="str">
        <f t="shared" si="21"/>
        <v>oracle_1</v>
      </c>
      <c r="F115" s="1" t="s">
        <v>206</v>
      </c>
      <c r="I115" s="1">
        <v>20</v>
      </c>
      <c r="J115" s="1">
        <v>1</v>
      </c>
      <c r="K115" s="1">
        <v>3</v>
      </c>
      <c r="L115" s="1" t="s">
        <v>306</v>
      </c>
      <c r="M115" s="1">
        <v>1200</v>
      </c>
      <c r="N115" s="1">
        <v>0.15</v>
      </c>
      <c r="Q115" s="1">
        <v>2.25</v>
      </c>
      <c r="S115" s="1">
        <v>1</v>
      </c>
      <c r="T115" s="1">
        <v>4</v>
      </c>
      <c r="U115" s="1" t="s">
        <v>307</v>
      </c>
      <c r="W115" s="1" t="s">
        <v>308</v>
      </c>
      <c r="X115" s="1" t="s">
        <v>208</v>
      </c>
      <c r="Y115" s="1" t="s">
        <v>209</v>
      </c>
      <c r="Z115" s="1" t="s">
        <v>647</v>
      </c>
      <c r="AA115" s="8" t="s">
        <v>210</v>
      </c>
      <c r="AC115" s="8" t="s">
        <v>219</v>
      </c>
      <c r="AD115" s="8" t="s">
        <v>269</v>
      </c>
      <c r="AE115" s="8" t="s">
        <v>632</v>
      </c>
      <c r="AF115" s="8" t="s">
        <v>320</v>
      </c>
      <c r="AG115" s="8" t="s">
        <v>220</v>
      </c>
      <c r="AH115" s="8" t="s">
        <v>232</v>
      </c>
      <c r="AI115" s="10" t="s">
        <v>633</v>
      </c>
      <c r="AJ115" s="8" t="s">
        <v>233</v>
      </c>
    </row>
    <row r="116" spans="1:37" x14ac:dyDescent="0.2">
      <c r="AC116" s="8" t="s">
        <v>417</v>
      </c>
      <c r="AD116" s="8" t="s">
        <v>347</v>
      </c>
      <c r="AE116" s="8" t="s">
        <v>352</v>
      </c>
      <c r="AF116" s="8">
        <v>0.25</v>
      </c>
      <c r="AG116" s="8">
        <v>300</v>
      </c>
      <c r="AH116" s="8">
        <v>9</v>
      </c>
      <c r="AI116" s="10">
        <v>30</v>
      </c>
      <c r="AJ116" s="8">
        <v>1</v>
      </c>
    </row>
    <row r="117" spans="1:37" x14ac:dyDescent="0.2">
      <c r="A117" s="1" t="s">
        <v>643</v>
      </c>
      <c r="B117" s="1" t="s">
        <v>625</v>
      </c>
      <c r="C117" s="1" t="s">
        <v>205</v>
      </c>
      <c r="D117" s="1" t="str">
        <f t="shared" ref="D117" si="47">"abilities/heroes/"&amp;LEFT(A117,LEN(A117)-2)&amp;"/"&amp;A117</f>
        <v>abilities/heroes/oracle/oracle_2</v>
      </c>
      <c r="E117" s="1" t="str">
        <f t="shared" si="21"/>
        <v>oracle_2</v>
      </c>
      <c r="F117" s="1" t="s">
        <v>206</v>
      </c>
      <c r="I117" s="1">
        <v>20</v>
      </c>
      <c r="J117" s="1">
        <v>1</v>
      </c>
      <c r="K117" s="1">
        <v>3</v>
      </c>
      <c r="L117" s="1" t="s">
        <v>226</v>
      </c>
      <c r="N117" s="1">
        <v>0.3</v>
      </c>
      <c r="Q117" s="1">
        <v>16</v>
      </c>
      <c r="R117" s="1">
        <v>1</v>
      </c>
      <c r="S117" s="1">
        <v>1</v>
      </c>
      <c r="T117" s="1">
        <v>2</v>
      </c>
      <c r="U117" s="1" t="s">
        <v>218</v>
      </c>
      <c r="W117" s="1" t="s">
        <v>88</v>
      </c>
      <c r="X117" s="1" t="s">
        <v>208</v>
      </c>
      <c r="Y117" s="1" t="s">
        <v>209</v>
      </c>
      <c r="AC117" s="8" t="s">
        <v>627</v>
      </c>
      <c r="AD117" s="8" t="s">
        <v>634</v>
      </c>
      <c r="AE117" s="8" t="s">
        <v>635</v>
      </c>
      <c r="AF117" s="8" t="s">
        <v>553</v>
      </c>
      <c r="AG117" s="8" t="s">
        <v>232</v>
      </c>
      <c r="AH117" s="8" t="s">
        <v>650</v>
      </c>
    </row>
    <row r="118" spans="1:37" x14ac:dyDescent="0.2">
      <c r="AC118" s="8" t="s">
        <v>348</v>
      </c>
      <c r="AD118" s="8" t="s">
        <v>354</v>
      </c>
      <c r="AE118" s="8" t="s">
        <v>423</v>
      </c>
      <c r="AF118" s="8" t="s">
        <v>636</v>
      </c>
      <c r="AG118" s="8">
        <v>9</v>
      </c>
      <c r="AH118" s="8">
        <v>15</v>
      </c>
    </row>
    <row r="119" spans="1:37" x14ac:dyDescent="0.2">
      <c r="A119" s="1" t="s">
        <v>644</v>
      </c>
      <c r="B119" s="1" t="s">
        <v>646</v>
      </c>
      <c r="C119" s="1" t="s">
        <v>205</v>
      </c>
      <c r="D119" s="1" t="str">
        <f t="shared" ref="D119" si="48">"abilities/heroes/"&amp;LEFT(A119,LEN(A119)-2)&amp;"/"&amp;A119</f>
        <v>abilities/heroes/oracle/oracle_3</v>
      </c>
      <c r="E119" s="1" t="str">
        <f t="shared" si="21"/>
        <v>oracle_3</v>
      </c>
      <c r="F119" s="1" t="s">
        <v>206</v>
      </c>
      <c r="I119" s="1">
        <v>20</v>
      </c>
      <c r="J119" s="1">
        <v>1</v>
      </c>
      <c r="K119" s="1">
        <v>3</v>
      </c>
      <c r="L119" s="1" t="s">
        <v>226</v>
      </c>
      <c r="M119" s="1">
        <v>1200</v>
      </c>
      <c r="N119" s="1">
        <v>0.3</v>
      </c>
      <c r="Q119" s="1">
        <v>28</v>
      </c>
      <c r="S119" s="1">
        <v>1</v>
      </c>
      <c r="T119" s="1">
        <v>3</v>
      </c>
      <c r="U119" s="1" t="s">
        <v>218</v>
      </c>
      <c r="W119" s="1" t="s">
        <v>5</v>
      </c>
      <c r="X119" s="1" t="s">
        <v>227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278</v>
      </c>
      <c r="AF119" s="8" t="s">
        <v>637</v>
      </c>
      <c r="AG119" s="8" t="s">
        <v>639</v>
      </c>
      <c r="AH119" s="8" t="s">
        <v>232</v>
      </c>
      <c r="AI119" s="10" t="s">
        <v>651</v>
      </c>
      <c r="AJ119" s="10" t="s">
        <v>652</v>
      </c>
    </row>
    <row r="120" spans="1:37" x14ac:dyDescent="0.2">
      <c r="AC120" s="8" t="s">
        <v>343</v>
      </c>
      <c r="AD120" s="8" t="s">
        <v>349</v>
      </c>
      <c r="AE120" s="8">
        <v>200</v>
      </c>
      <c r="AF120" s="8" t="s">
        <v>638</v>
      </c>
      <c r="AG120" s="8">
        <v>1</v>
      </c>
      <c r="AH120" s="8">
        <v>14</v>
      </c>
      <c r="AI120" s="10">
        <v>300</v>
      </c>
      <c r="AJ120" s="10">
        <v>1</v>
      </c>
    </row>
    <row r="121" spans="1:37" x14ac:dyDescent="0.2">
      <c r="A121" s="1" t="s">
        <v>645</v>
      </c>
      <c r="B121" s="1" t="s">
        <v>626</v>
      </c>
      <c r="C121" s="1" t="s">
        <v>205</v>
      </c>
      <c r="D121" s="1" t="str">
        <f t="shared" ref="D121:D131" si="49">"abilities/heroes/"&amp;LEFT(A121,LEN(A121)-2)&amp;"/"&amp;A121</f>
        <v>abilities/heroes/oracle/oracle_4</v>
      </c>
      <c r="E121" s="1" t="str">
        <f t="shared" ref="E121:E131" si="50">A121</f>
        <v>oracle_4</v>
      </c>
      <c r="F121" s="1" t="s">
        <v>245</v>
      </c>
      <c r="I121" s="1">
        <v>8</v>
      </c>
      <c r="J121" s="1">
        <v>8</v>
      </c>
      <c r="K121" s="1">
        <v>24</v>
      </c>
      <c r="L121" s="1" t="s">
        <v>410</v>
      </c>
      <c r="M121" s="1">
        <v>800</v>
      </c>
      <c r="N121" s="1">
        <v>0.3</v>
      </c>
      <c r="Q121" s="1">
        <v>60</v>
      </c>
      <c r="U121" s="1" t="s">
        <v>502</v>
      </c>
      <c r="W121" s="1" t="s">
        <v>308</v>
      </c>
      <c r="X121" s="1" t="s">
        <v>208</v>
      </c>
      <c r="Y121" s="1" t="s">
        <v>209</v>
      </c>
      <c r="Z121" s="1" t="s">
        <v>524</v>
      </c>
      <c r="AA121" s="8" t="s">
        <v>210</v>
      </c>
      <c r="AB121" s="8" t="s">
        <v>412</v>
      </c>
      <c r="AC121" s="8" t="s">
        <v>219</v>
      </c>
      <c r="AD121" s="8" t="s">
        <v>269</v>
      </c>
      <c r="AE121" s="8" t="s">
        <v>220</v>
      </c>
      <c r="AF121" s="8" t="s">
        <v>523</v>
      </c>
      <c r="AG121" s="8" t="s">
        <v>211</v>
      </c>
      <c r="AH121" s="8" t="s">
        <v>641</v>
      </c>
      <c r="AI121" s="10" t="s">
        <v>628</v>
      </c>
    </row>
    <row r="122" spans="1:37" x14ac:dyDescent="0.2">
      <c r="AC122" s="8" t="s">
        <v>342</v>
      </c>
      <c r="AD122" s="8" t="s">
        <v>640</v>
      </c>
      <c r="AE122" s="8">
        <v>600</v>
      </c>
      <c r="AF122" s="8">
        <v>0.5</v>
      </c>
      <c r="AG122" s="8">
        <v>2</v>
      </c>
      <c r="AH122" s="8">
        <v>6</v>
      </c>
      <c r="AI122" s="10">
        <v>200</v>
      </c>
    </row>
    <row r="123" spans="1:37" x14ac:dyDescent="0.2">
      <c r="A123" s="1" t="s">
        <v>654</v>
      </c>
      <c r="B123" s="1" t="s">
        <v>659</v>
      </c>
      <c r="C123" s="1" t="s">
        <v>205</v>
      </c>
      <c r="D123" s="1" t="str">
        <f t="shared" si="49"/>
        <v>abilities/heroes/void_spirit/void_spirit_0</v>
      </c>
      <c r="E123" s="1" t="str">
        <f t="shared" si="50"/>
        <v>void_spirit_0</v>
      </c>
      <c r="F123" s="1" t="s">
        <v>206</v>
      </c>
      <c r="I123" s="1">
        <v>1</v>
      </c>
      <c r="L123" s="1" t="s">
        <v>448</v>
      </c>
      <c r="M123" s="1">
        <v>1200</v>
      </c>
      <c r="Q123" s="1">
        <v>5</v>
      </c>
      <c r="U123" s="1">
        <v>20</v>
      </c>
      <c r="W123" s="1" t="s">
        <v>676</v>
      </c>
      <c r="X123" s="1" t="s">
        <v>208</v>
      </c>
      <c r="Y123" s="1" t="s">
        <v>209</v>
      </c>
      <c r="Z123" s="1" t="s">
        <v>524</v>
      </c>
      <c r="AA123" s="8" t="s">
        <v>210</v>
      </c>
      <c r="AC123" s="8" t="s">
        <v>232</v>
      </c>
      <c r="AD123" s="8" t="s">
        <v>454</v>
      </c>
    </row>
    <row r="124" spans="1:37" x14ac:dyDescent="0.2">
      <c r="AC124" s="8">
        <v>10</v>
      </c>
      <c r="AD124" s="8">
        <v>2</v>
      </c>
    </row>
    <row r="125" spans="1:37" x14ac:dyDescent="0.2">
      <c r="A125" s="1" t="s">
        <v>655</v>
      </c>
      <c r="B125" s="1" t="s">
        <v>660</v>
      </c>
      <c r="C125" s="1" t="s">
        <v>205</v>
      </c>
      <c r="D125" s="1" t="str">
        <f t="shared" si="49"/>
        <v>abilities/heroes/void_spirit/void_spirit_1</v>
      </c>
      <c r="E125" s="1" t="str">
        <f t="shared" si="50"/>
        <v>void_spirit_1</v>
      </c>
      <c r="F125" s="1" t="s">
        <v>206</v>
      </c>
      <c r="I125" s="1">
        <v>20</v>
      </c>
      <c r="J125" s="1">
        <v>1</v>
      </c>
      <c r="K125" s="1">
        <v>3</v>
      </c>
      <c r="L125" s="1" t="s">
        <v>410</v>
      </c>
      <c r="N125" s="1">
        <v>0</v>
      </c>
      <c r="Q125" s="1">
        <v>10</v>
      </c>
      <c r="U125" s="1" t="s">
        <v>307</v>
      </c>
      <c r="W125" s="1" t="s">
        <v>479</v>
      </c>
      <c r="X125" s="1" t="s">
        <v>208</v>
      </c>
      <c r="Y125" s="1" t="s">
        <v>209</v>
      </c>
      <c r="Z125" s="1" t="s">
        <v>524</v>
      </c>
      <c r="AA125" s="8" t="s">
        <v>210</v>
      </c>
      <c r="AC125" s="8" t="s">
        <v>219</v>
      </c>
      <c r="AD125" s="8" t="s">
        <v>269</v>
      </c>
      <c r="AE125" s="8" t="s">
        <v>664</v>
      </c>
      <c r="AF125" s="8" t="s">
        <v>633</v>
      </c>
      <c r="AG125" s="8" t="s">
        <v>665</v>
      </c>
      <c r="AH125" s="8" t="s">
        <v>220</v>
      </c>
      <c r="AI125" s="10" t="s">
        <v>232</v>
      </c>
      <c r="AJ125" s="10" t="s">
        <v>287</v>
      </c>
      <c r="AK125" s="10" t="s">
        <v>332</v>
      </c>
    </row>
    <row r="126" spans="1:37" x14ac:dyDescent="0.2">
      <c r="AC126" s="8" t="s">
        <v>384</v>
      </c>
      <c r="AD126" s="8" t="s">
        <v>347</v>
      </c>
      <c r="AE126" s="8" t="s">
        <v>384</v>
      </c>
      <c r="AF126" s="8">
        <v>20</v>
      </c>
      <c r="AG126" s="8" t="s">
        <v>347</v>
      </c>
      <c r="AH126" s="8">
        <v>500</v>
      </c>
      <c r="AI126" s="10">
        <v>10</v>
      </c>
      <c r="AJ126" s="10">
        <v>0.3</v>
      </c>
      <c r="AK126" s="10">
        <v>6</v>
      </c>
    </row>
    <row r="127" spans="1:37" x14ac:dyDescent="0.2">
      <c r="A127" s="1" t="s">
        <v>656</v>
      </c>
      <c r="B127" s="1" t="s">
        <v>661</v>
      </c>
      <c r="C127" s="1" t="s">
        <v>205</v>
      </c>
      <c r="D127" s="1" t="str">
        <f t="shared" si="49"/>
        <v>abilities/heroes/void_spirit/void_spirit_2</v>
      </c>
      <c r="E127" s="1" t="str">
        <f>A127</f>
        <v>void_spirit_2</v>
      </c>
      <c r="F127" s="1" t="s">
        <v>206</v>
      </c>
      <c r="I127" s="1">
        <v>20</v>
      </c>
      <c r="J127" s="1">
        <v>1</v>
      </c>
      <c r="K127" s="1">
        <v>3</v>
      </c>
      <c r="L127" s="1" t="s">
        <v>306</v>
      </c>
      <c r="M127" s="1">
        <v>1600</v>
      </c>
      <c r="N127" s="1">
        <v>0.2</v>
      </c>
      <c r="O127" s="1">
        <v>2</v>
      </c>
      <c r="P127" s="1">
        <v>12</v>
      </c>
      <c r="U127" s="1" t="s">
        <v>307</v>
      </c>
      <c r="W127" s="1" t="s">
        <v>308</v>
      </c>
      <c r="X127" s="1" t="s">
        <v>208</v>
      </c>
      <c r="Y127" s="1" t="s">
        <v>209</v>
      </c>
      <c r="Z127" s="1" t="s">
        <v>524</v>
      </c>
      <c r="AA127" s="8" t="s">
        <v>210</v>
      </c>
      <c r="AC127" s="8" t="s">
        <v>219</v>
      </c>
      <c r="AD127" s="8" t="s">
        <v>269</v>
      </c>
      <c r="AE127" s="8" t="s">
        <v>220</v>
      </c>
      <c r="AF127" s="8" t="s">
        <v>666</v>
      </c>
      <c r="AG127" s="8" t="s">
        <v>211</v>
      </c>
    </row>
    <row r="128" spans="1:37" x14ac:dyDescent="0.2">
      <c r="AC128" s="8" t="s">
        <v>384</v>
      </c>
      <c r="AD128" s="8" t="s">
        <v>347</v>
      </c>
      <c r="AE128" s="8">
        <v>275</v>
      </c>
      <c r="AF128" s="8">
        <v>1.3</v>
      </c>
      <c r="AG128" s="8">
        <v>2</v>
      </c>
    </row>
    <row r="129" spans="1:37" x14ac:dyDescent="0.2">
      <c r="A129" s="1" t="s">
        <v>657</v>
      </c>
      <c r="B129" s="1" t="s">
        <v>663</v>
      </c>
      <c r="C129" s="1" t="s">
        <v>205</v>
      </c>
      <c r="D129" s="1" t="str">
        <f t="shared" si="49"/>
        <v>abilities/heroes/void_spirit/void_spirit_3</v>
      </c>
      <c r="E129" s="1" t="str">
        <f>A129</f>
        <v>void_spirit_3</v>
      </c>
      <c r="F129" s="1" t="s">
        <v>206</v>
      </c>
      <c r="I129" s="1">
        <v>20</v>
      </c>
      <c r="J129" s="1">
        <v>1</v>
      </c>
      <c r="K129" s="1">
        <v>3</v>
      </c>
      <c r="L129" s="1" t="s">
        <v>226</v>
      </c>
      <c r="N129" s="1">
        <v>0.2</v>
      </c>
      <c r="O129" s="1">
        <v>2</v>
      </c>
      <c r="P129" s="1">
        <v>20</v>
      </c>
      <c r="U129" s="1" t="s">
        <v>307</v>
      </c>
      <c r="W129" s="1" t="s">
        <v>675</v>
      </c>
      <c r="X129" s="1" t="s">
        <v>208</v>
      </c>
      <c r="Y129" s="1" t="s">
        <v>209</v>
      </c>
      <c r="Z129" s="1" t="s">
        <v>524</v>
      </c>
      <c r="AA129" s="8" t="s">
        <v>210</v>
      </c>
      <c r="AC129" s="8" t="s">
        <v>220</v>
      </c>
      <c r="AD129" s="8" t="s">
        <v>671</v>
      </c>
      <c r="AE129" s="8" t="s">
        <v>672</v>
      </c>
      <c r="AF129" s="8" t="s">
        <v>673</v>
      </c>
      <c r="AG129" s="8" t="s">
        <v>674</v>
      </c>
      <c r="AH129" s="10" t="s">
        <v>677</v>
      </c>
      <c r="AI129" s="10" t="s">
        <v>628</v>
      </c>
      <c r="AJ129" s="10" t="s">
        <v>269</v>
      </c>
      <c r="AK129" s="10" t="s">
        <v>403</v>
      </c>
    </row>
    <row r="130" spans="1:37" x14ac:dyDescent="0.2">
      <c r="AC130" s="8">
        <v>175</v>
      </c>
      <c r="AD130" s="8">
        <v>200</v>
      </c>
      <c r="AE130" s="8">
        <v>1600</v>
      </c>
      <c r="AF130" s="8">
        <v>1.25</v>
      </c>
      <c r="AG130" s="8">
        <v>80</v>
      </c>
      <c r="AH130" s="10">
        <v>300</v>
      </c>
      <c r="AI130" s="10" t="s">
        <v>678</v>
      </c>
      <c r="AJ130" s="10" t="s">
        <v>347</v>
      </c>
      <c r="AK130" s="10">
        <v>10</v>
      </c>
    </row>
    <row r="131" spans="1:37" x14ac:dyDescent="0.2">
      <c r="A131" s="1" t="s">
        <v>658</v>
      </c>
      <c r="B131" s="1" t="s">
        <v>662</v>
      </c>
      <c r="C131" s="1" t="s">
        <v>205</v>
      </c>
      <c r="D131" s="1" t="str">
        <f t="shared" si="49"/>
        <v>abilities/heroes/void_spirit/void_spirit_4</v>
      </c>
      <c r="E131" s="1" t="str">
        <f t="shared" si="50"/>
        <v>void_spirit_4</v>
      </c>
      <c r="F131" s="1" t="s">
        <v>245</v>
      </c>
      <c r="I131" s="1">
        <v>8</v>
      </c>
      <c r="J131" s="1">
        <v>8</v>
      </c>
      <c r="K131" s="1">
        <v>24</v>
      </c>
      <c r="L131" s="1" t="s">
        <v>306</v>
      </c>
      <c r="N131" s="1">
        <v>0.2</v>
      </c>
      <c r="Q131" s="1">
        <v>40</v>
      </c>
      <c r="U131" s="1" t="s">
        <v>502</v>
      </c>
      <c r="W131" s="1" t="s">
        <v>88</v>
      </c>
      <c r="X131" s="1" t="s">
        <v>208</v>
      </c>
      <c r="Y131" s="1" t="s">
        <v>209</v>
      </c>
      <c r="Z131" s="1" t="s">
        <v>524</v>
      </c>
      <c r="AA131" s="8" t="s">
        <v>210</v>
      </c>
      <c r="AC131" s="8" t="s">
        <v>219</v>
      </c>
      <c r="AD131" s="8" t="s">
        <v>269</v>
      </c>
      <c r="AE131" s="8" t="s">
        <v>220</v>
      </c>
      <c r="AF131" s="8" t="s">
        <v>666</v>
      </c>
      <c r="AG131" s="8" t="s">
        <v>668</v>
      </c>
      <c r="AH131" s="8" t="s">
        <v>667</v>
      </c>
      <c r="AI131" s="10" t="s">
        <v>669</v>
      </c>
      <c r="AJ131" s="10" t="s">
        <v>670</v>
      </c>
      <c r="AK131" s="10" t="s">
        <v>211</v>
      </c>
    </row>
    <row r="132" spans="1:37" x14ac:dyDescent="0.2">
      <c r="AC132" s="8" t="s">
        <v>346</v>
      </c>
      <c r="AD132" s="8" t="s">
        <v>538</v>
      </c>
      <c r="AE132" s="8">
        <v>275</v>
      </c>
      <c r="AF132" s="8">
        <v>1.3</v>
      </c>
      <c r="AG132" s="8">
        <v>6</v>
      </c>
      <c r="AH132" s="8">
        <v>183</v>
      </c>
      <c r="AI132" s="10">
        <v>60</v>
      </c>
      <c r="AJ132" s="10">
        <v>520</v>
      </c>
      <c r="AK132" s="10">
        <v>6</v>
      </c>
    </row>
  </sheetData>
  <phoneticPr fontId="1" type="noConversion"/>
  <conditionalFormatting sqref="A3:XFD10000">
    <cfRule type="expression" dxfId="10" priority="82">
      <formula>MOD(ROW(A4),2)=0</formula>
    </cfRule>
    <cfRule type="expression" dxfId="9" priority="83">
      <formula>MOD(ROW(A4),4)&lt;2</formula>
    </cfRule>
    <cfRule type="expression" dxfId="8" priority="86">
      <formula>MOD(ROW(A6),4)&lt;2</formula>
    </cfRule>
  </conditionalFormatting>
  <conditionalFormatting sqref="A3:Z10000">
    <cfRule type="expression" dxfId="7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E15" sqref="E15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145</v>
      </c>
      <c r="D1" s="4" t="s">
        <v>4</v>
      </c>
      <c r="E1" s="4" t="s">
        <v>1</v>
      </c>
      <c r="F1" s="4" t="s">
        <v>152</v>
      </c>
      <c r="H1" s="4" t="s">
        <v>141</v>
      </c>
      <c r="I1" s="4" t="s">
        <v>142</v>
      </c>
    </row>
    <row r="2" spans="1:9" x14ac:dyDescent="0.2">
      <c r="A2" s="5" t="s">
        <v>6</v>
      </c>
      <c r="B2" s="5" t="s">
        <v>3</v>
      </c>
      <c r="C2" s="5" t="s">
        <v>146</v>
      </c>
      <c r="D2" s="6" t="s">
        <v>98</v>
      </c>
      <c r="E2" s="6" t="s">
        <v>86</v>
      </c>
      <c r="F2" s="6" t="s">
        <v>154</v>
      </c>
      <c r="H2" s="6" t="str">
        <f>"abilities/boss/"&amp;Sheet1!A3</f>
        <v>abilities/boss/omniknight_0</v>
      </c>
      <c r="I2" s="6" t="s">
        <v>143</v>
      </c>
    </row>
    <row r="3" spans="1:9" x14ac:dyDescent="0.2">
      <c r="A3" s="5" t="s">
        <v>144</v>
      </c>
      <c r="B3" s="5" t="s">
        <v>140</v>
      </c>
      <c r="C3" s="5" t="s">
        <v>147</v>
      </c>
      <c r="D3" s="6" t="s">
        <v>102</v>
      </c>
      <c r="E3" s="6" t="s">
        <v>87</v>
      </c>
      <c r="F3" s="6" t="s">
        <v>155</v>
      </c>
      <c r="H3" s="6" t="s">
        <v>150</v>
      </c>
    </row>
    <row r="4" spans="1:9" x14ac:dyDescent="0.2">
      <c r="A4" s="5" t="s">
        <v>8</v>
      </c>
      <c r="B4" s="5" t="s">
        <v>9</v>
      </c>
      <c r="C4" s="5" t="s">
        <v>148</v>
      </c>
      <c r="D4" s="6" t="s">
        <v>103</v>
      </c>
      <c r="E4" s="6" t="s">
        <v>0</v>
      </c>
      <c r="F4" s="6" t="s">
        <v>156</v>
      </c>
    </row>
    <row r="5" spans="1:9" x14ac:dyDescent="0.2">
      <c r="A5" s="5" t="s">
        <v>43</v>
      </c>
      <c r="B5" s="5" t="s">
        <v>10</v>
      </c>
      <c r="C5" s="5" t="s">
        <v>149</v>
      </c>
      <c r="D5" s="6" t="s">
        <v>104</v>
      </c>
      <c r="E5" s="6" t="s">
        <v>88</v>
      </c>
      <c r="F5" s="6" t="s">
        <v>153</v>
      </c>
    </row>
    <row r="6" spans="1:9" x14ac:dyDescent="0.2">
      <c r="A6" s="5" t="s">
        <v>44</v>
      </c>
      <c r="B6" s="5" t="s">
        <v>11</v>
      </c>
      <c r="D6" s="6" t="s">
        <v>105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106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107</v>
      </c>
      <c r="E8" s="6" t="s">
        <v>521</v>
      </c>
    </row>
    <row r="9" spans="1:9" x14ac:dyDescent="0.2">
      <c r="A9" s="5" t="s">
        <v>47</v>
      </c>
      <c r="B9" s="5" t="s">
        <v>14</v>
      </c>
      <c r="D9" s="6" t="s">
        <v>108</v>
      </c>
      <c r="E9" s="6" t="s">
        <v>90</v>
      </c>
    </row>
    <row r="10" spans="1:9" x14ac:dyDescent="0.2">
      <c r="A10" s="5" t="s">
        <v>48</v>
      </c>
      <c r="B10" s="5" t="s">
        <v>15</v>
      </c>
      <c r="D10" s="6" t="s">
        <v>109</v>
      </c>
      <c r="E10" s="6" t="s">
        <v>151</v>
      </c>
    </row>
    <row r="11" spans="1:9" x14ac:dyDescent="0.2">
      <c r="A11" s="5" t="s">
        <v>49</v>
      </c>
      <c r="B11" s="5" t="s">
        <v>16</v>
      </c>
      <c r="D11" s="6" t="s">
        <v>110</v>
      </c>
      <c r="E11" s="6" t="s">
        <v>91</v>
      </c>
    </row>
    <row r="12" spans="1:9" x14ac:dyDescent="0.2">
      <c r="A12" s="5" t="s">
        <v>50</v>
      </c>
      <c r="B12" s="5" t="s">
        <v>17</v>
      </c>
      <c r="D12" s="6" t="s">
        <v>111</v>
      </c>
      <c r="E12" s="6" t="s">
        <v>491</v>
      </c>
    </row>
    <row r="13" spans="1:9" x14ac:dyDescent="0.2">
      <c r="A13" s="5" t="s">
        <v>51</v>
      </c>
      <c r="B13" s="5" t="s">
        <v>18</v>
      </c>
      <c r="D13" s="6" t="s">
        <v>132</v>
      </c>
      <c r="E13" s="6" t="s">
        <v>131</v>
      </c>
    </row>
    <row r="14" spans="1:9" x14ac:dyDescent="0.2">
      <c r="A14" s="5" t="s">
        <v>52</v>
      </c>
      <c r="B14" s="5" t="s">
        <v>19</v>
      </c>
      <c r="D14" s="6" t="s">
        <v>112</v>
      </c>
      <c r="E14" s="6" t="s">
        <v>565</v>
      </c>
    </row>
    <row r="15" spans="1:9" x14ac:dyDescent="0.2">
      <c r="A15" s="5" t="s">
        <v>53</v>
      </c>
      <c r="B15" s="5" t="s">
        <v>21</v>
      </c>
      <c r="D15" s="6" t="s">
        <v>113</v>
      </c>
      <c r="E15" s="6" t="s">
        <v>648</v>
      </c>
    </row>
    <row r="16" spans="1:9" x14ac:dyDescent="0.2">
      <c r="A16" s="5" t="s">
        <v>54</v>
      </c>
      <c r="B16" s="5" t="s">
        <v>69</v>
      </c>
      <c r="D16" s="6" t="s">
        <v>114</v>
      </c>
      <c r="E16" s="6" t="s">
        <v>133</v>
      </c>
    </row>
    <row r="17" spans="1:5" x14ac:dyDescent="0.2">
      <c r="A17" s="5" t="s">
        <v>55</v>
      </c>
      <c r="B17" s="5" t="s">
        <v>22</v>
      </c>
      <c r="D17" s="6" t="s">
        <v>115</v>
      </c>
      <c r="E17" s="6" t="s">
        <v>134</v>
      </c>
    </row>
    <row r="18" spans="1:5" x14ac:dyDescent="0.2">
      <c r="A18" s="5" t="s">
        <v>56</v>
      </c>
      <c r="B18" s="5" t="s">
        <v>23</v>
      </c>
      <c r="D18" s="6" t="s">
        <v>116</v>
      </c>
      <c r="E18" s="6" t="s">
        <v>135</v>
      </c>
    </row>
    <row r="19" spans="1:5" x14ac:dyDescent="0.2">
      <c r="A19" s="5" t="s">
        <v>57</v>
      </c>
      <c r="B19" s="5" t="s">
        <v>24</v>
      </c>
      <c r="D19" s="6" t="s">
        <v>117</v>
      </c>
      <c r="E19" s="6" t="s">
        <v>92</v>
      </c>
    </row>
    <row r="20" spans="1:5" x14ac:dyDescent="0.2">
      <c r="A20" s="5" t="s">
        <v>58</v>
      </c>
      <c r="B20" s="5" t="s">
        <v>25</v>
      </c>
      <c r="D20" s="6" t="s">
        <v>118</v>
      </c>
      <c r="E20" s="6" t="s">
        <v>93</v>
      </c>
    </row>
    <row r="21" spans="1:5" x14ac:dyDescent="0.2">
      <c r="A21" s="5" t="s">
        <v>59</v>
      </c>
      <c r="B21" s="5" t="s">
        <v>26</v>
      </c>
      <c r="D21" s="6" t="s">
        <v>119</v>
      </c>
      <c r="E21" s="6" t="s">
        <v>99</v>
      </c>
    </row>
    <row r="22" spans="1:5" x14ac:dyDescent="0.2">
      <c r="A22" s="5" t="s">
        <v>60</v>
      </c>
      <c r="B22" s="5" t="s">
        <v>27</v>
      </c>
      <c r="D22" s="6" t="s">
        <v>120</v>
      </c>
      <c r="E22" s="6" t="s">
        <v>136</v>
      </c>
    </row>
    <row r="23" spans="1:5" x14ac:dyDescent="0.2">
      <c r="A23" s="5" t="s">
        <v>61</v>
      </c>
      <c r="B23" s="5" t="s">
        <v>28</v>
      </c>
      <c r="D23" s="6" t="s">
        <v>121</v>
      </c>
      <c r="E23" s="6" t="s">
        <v>137</v>
      </c>
    </row>
    <row r="24" spans="1:5" x14ac:dyDescent="0.2">
      <c r="A24" s="5" t="s">
        <v>62</v>
      </c>
      <c r="B24" s="5" t="s">
        <v>29</v>
      </c>
      <c r="D24" s="6" t="s">
        <v>138</v>
      </c>
      <c r="E24" s="6" t="s">
        <v>100</v>
      </c>
    </row>
    <row r="25" spans="1:5" x14ac:dyDescent="0.2">
      <c r="A25" s="5" t="s">
        <v>63</v>
      </c>
      <c r="B25" s="5" t="s">
        <v>30</v>
      </c>
      <c r="D25" s="6" t="s">
        <v>122</v>
      </c>
      <c r="E25" s="6" t="s">
        <v>543</v>
      </c>
    </row>
    <row r="26" spans="1:5" x14ac:dyDescent="0.2">
      <c r="A26" s="5" t="s">
        <v>64</v>
      </c>
      <c r="B26" s="5" t="s">
        <v>31</v>
      </c>
      <c r="D26" s="6" t="s">
        <v>123</v>
      </c>
      <c r="E26" s="6" t="s">
        <v>139</v>
      </c>
    </row>
    <row r="27" spans="1:5" x14ac:dyDescent="0.2">
      <c r="A27" s="5" t="s">
        <v>65</v>
      </c>
      <c r="B27" s="5" t="s">
        <v>20</v>
      </c>
      <c r="D27" s="6" t="s">
        <v>124</v>
      </c>
      <c r="E27" s="6" t="s">
        <v>101</v>
      </c>
    </row>
    <row r="28" spans="1:5" x14ac:dyDescent="0.2">
      <c r="A28" s="5" t="s">
        <v>66</v>
      </c>
      <c r="B28" s="5" t="s">
        <v>32</v>
      </c>
      <c r="D28" s="6" t="s">
        <v>125</v>
      </c>
      <c r="E28" s="6" t="s">
        <v>94</v>
      </c>
    </row>
    <row r="29" spans="1:5" x14ac:dyDescent="0.2">
      <c r="A29" s="5" t="s">
        <v>67</v>
      </c>
      <c r="B29" s="5" t="s">
        <v>33</v>
      </c>
      <c r="D29" s="6" t="s">
        <v>126</v>
      </c>
      <c r="E29" s="6" t="s">
        <v>95</v>
      </c>
    </row>
    <row r="30" spans="1:5" x14ac:dyDescent="0.2">
      <c r="A30" s="5" t="s">
        <v>73</v>
      </c>
      <c r="B30" s="5" t="s">
        <v>68</v>
      </c>
      <c r="D30" s="6" t="s">
        <v>127</v>
      </c>
      <c r="E30" s="6" t="s">
        <v>566</v>
      </c>
    </row>
    <row r="31" spans="1:5" x14ac:dyDescent="0.2">
      <c r="A31" s="5" t="s">
        <v>74</v>
      </c>
      <c r="B31" s="5" t="s">
        <v>70</v>
      </c>
      <c r="D31" s="6" t="s">
        <v>128</v>
      </c>
      <c r="E31" s="6" t="s">
        <v>96</v>
      </c>
    </row>
    <row r="32" spans="1:5" x14ac:dyDescent="0.2">
      <c r="A32" s="5" t="s">
        <v>75</v>
      </c>
      <c r="B32" s="5" t="s">
        <v>71</v>
      </c>
      <c r="D32" s="6" t="s">
        <v>129</v>
      </c>
      <c r="E32" s="6" t="s">
        <v>544</v>
      </c>
    </row>
    <row r="33" spans="1:5" x14ac:dyDescent="0.2">
      <c r="A33" s="5" t="s">
        <v>76</v>
      </c>
      <c r="B33" s="5" t="s">
        <v>72</v>
      </c>
      <c r="D33" s="6" t="s">
        <v>130</v>
      </c>
      <c r="E33" s="6" t="s">
        <v>97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6" priority="16"/>
  </conditionalFormatting>
  <conditionalFormatting sqref="B1:C42">
    <cfRule type="duplicateValues" dxfId="5" priority="3"/>
  </conditionalFormatting>
  <conditionalFormatting sqref="B43:C43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60EA-1EF1-43D1-9C52-15E7F7E45FE4}">
  <sheetPr codeName="Sheet3"/>
  <dimension ref="A1:AR132"/>
  <sheetViews>
    <sheetView workbookViewId="0">
      <pane xSplit="2" ySplit="2" topLeftCell="M83" activePane="bottomRight" state="frozen"/>
      <selection pane="topRight" activeCell="C1" sqref="C1"/>
      <selection pane="bottomLeft" activeCell="A3" sqref="A3"/>
      <selection pane="bottomRight" activeCell="Q131" sqref="Q131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4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2" t="s">
        <v>210</v>
      </c>
      <c r="AB5" s="12"/>
      <c r="AC5" s="12" t="s">
        <v>219</v>
      </c>
      <c r="AD5" s="12" t="s">
        <v>213</v>
      </c>
      <c r="AE5" s="12" t="s">
        <v>220</v>
      </c>
      <c r="AF5" s="12" t="s">
        <v>211</v>
      </c>
      <c r="AG5" s="12" t="s">
        <v>221</v>
      </c>
      <c r="AH5" s="12" t="s">
        <v>222</v>
      </c>
      <c r="AI5" s="13" t="s">
        <v>223</v>
      </c>
      <c r="AJ5" s="13" t="s">
        <v>589</v>
      </c>
      <c r="AK5" s="13"/>
      <c r="AL5" s="13"/>
      <c r="AM5" s="13"/>
      <c r="AN5" s="13"/>
      <c r="AO5" s="13"/>
    </row>
    <row r="6" spans="1:44" s="2" customFormat="1" x14ac:dyDescent="0.2">
      <c r="D6" s="1"/>
      <c r="E6" s="1"/>
      <c r="AA6" s="12"/>
      <c r="AB6" s="12"/>
      <c r="AC6" s="12" t="s">
        <v>343</v>
      </c>
      <c r="AD6" s="12" t="s">
        <v>347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>
        <v>25</v>
      </c>
      <c r="AK6" s="13"/>
      <c r="AL6" s="13"/>
      <c r="AM6" s="13"/>
      <c r="AN6" s="13"/>
      <c r="AO6" s="13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10" t="s">
        <v>230</v>
      </c>
      <c r="AJ7" s="10" t="s">
        <v>231</v>
      </c>
      <c r="AK7" s="10" t="s">
        <v>212</v>
      </c>
      <c r="AL7" s="10" t="s">
        <v>232</v>
      </c>
      <c r="AM7" s="10" t="s">
        <v>590</v>
      </c>
      <c r="AN7" s="10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10" t="s">
        <v>351</v>
      </c>
      <c r="AJ8" s="10" t="s">
        <v>352</v>
      </c>
      <c r="AK8" s="10" t="s">
        <v>353</v>
      </c>
      <c r="AL8" s="10">
        <v>40</v>
      </c>
      <c r="AM8" s="10">
        <v>50</v>
      </c>
      <c r="AN8" s="10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210</v>
      </c>
      <c r="AB9" s="12"/>
      <c r="AC9" s="12" t="s">
        <v>238</v>
      </c>
      <c r="AD9" s="12" t="s">
        <v>239</v>
      </c>
      <c r="AE9" s="12" t="s">
        <v>373</v>
      </c>
      <c r="AF9" s="12" t="s">
        <v>240</v>
      </c>
      <c r="AG9" s="12" t="s">
        <v>241</v>
      </c>
      <c r="AH9" s="12" t="s">
        <v>242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E10" s="1"/>
      <c r="AA10" s="12"/>
      <c r="AB10" s="12"/>
      <c r="AC10" s="12" t="s">
        <v>372</v>
      </c>
      <c r="AD10" s="12" t="s">
        <v>339</v>
      </c>
      <c r="AE10" s="12" t="s">
        <v>354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10" t="s">
        <v>257</v>
      </c>
      <c r="AJ11" s="10" t="s">
        <v>258</v>
      </c>
      <c r="AK11" s="10" t="s">
        <v>235</v>
      </c>
      <c r="AL11" s="10" t="s">
        <v>247</v>
      </c>
      <c r="AM11" s="10" t="s">
        <v>248</v>
      </c>
      <c r="AN11" s="10" t="s">
        <v>249</v>
      </c>
      <c r="AO11" s="10" t="s">
        <v>250</v>
      </c>
      <c r="AP11" s="1" t="s">
        <v>506</v>
      </c>
      <c r="AQ11" s="1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262</v>
      </c>
      <c r="AN12" s="10">
        <v>4</v>
      </c>
      <c r="AO12" s="10">
        <v>30</v>
      </c>
      <c r="AP12" s="1">
        <v>0.3</v>
      </c>
      <c r="AQ12" s="1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2"/>
      <c r="AB13" s="12"/>
      <c r="AC13" s="12" t="s">
        <v>222</v>
      </c>
      <c r="AD13" s="12" t="s">
        <v>221</v>
      </c>
      <c r="AE13" s="12" t="s">
        <v>266</v>
      </c>
      <c r="AF13" s="12" t="s">
        <v>235</v>
      </c>
      <c r="AG13" s="12" t="s">
        <v>214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E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10" t="s">
        <v>273</v>
      </c>
      <c r="AJ15" s="10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2" t="s">
        <v>210</v>
      </c>
      <c r="AB17" s="12"/>
      <c r="AC17" s="12" t="s">
        <v>219</v>
      </c>
      <c r="AD17" s="12" t="s">
        <v>269</v>
      </c>
      <c r="AE17" s="12" t="s">
        <v>273</v>
      </c>
      <c r="AF17" s="12" t="s">
        <v>272</v>
      </c>
      <c r="AG17" s="12" t="s">
        <v>278</v>
      </c>
      <c r="AH17" s="12" t="s">
        <v>232</v>
      </c>
      <c r="AI17" s="13" t="s">
        <v>220</v>
      </c>
      <c r="AJ17" s="13" t="s">
        <v>279</v>
      </c>
      <c r="AK17" s="13"/>
      <c r="AL17" s="13"/>
      <c r="AM17" s="13"/>
      <c r="AN17" s="13"/>
      <c r="AO17" s="13"/>
    </row>
    <row r="18" spans="1:41" s="2" customFormat="1" x14ac:dyDescent="0.2">
      <c r="D18" s="1"/>
      <c r="E18" s="1"/>
      <c r="AA18" s="12"/>
      <c r="AB18" s="12"/>
      <c r="AC18" s="12" t="s">
        <v>345</v>
      </c>
      <c r="AD18" s="12" t="s">
        <v>347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10" t="s">
        <v>287</v>
      </c>
      <c r="AJ19" s="10" t="s">
        <v>288</v>
      </c>
      <c r="AK19" s="10" t="s">
        <v>282</v>
      </c>
      <c r="AL19" s="10" t="s">
        <v>283</v>
      </c>
      <c r="AM19" s="10" t="s">
        <v>219</v>
      </c>
    </row>
    <row r="20" spans="1:41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340</v>
      </c>
      <c r="AL20" s="10">
        <v>2</v>
      </c>
      <c r="AM20" s="10" t="s">
        <v>343</v>
      </c>
    </row>
    <row r="21" spans="1:41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2" t="s">
        <v>210</v>
      </c>
      <c r="AB21" s="12"/>
      <c r="AC21" s="12" t="s">
        <v>219</v>
      </c>
      <c r="AD21" s="12" t="s">
        <v>269</v>
      </c>
      <c r="AE21" s="12" t="s">
        <v>285</v>
      </c>
      <c r="AF21" s="12" t="s">
        <v>220</v>
      </c>
      <c r="AG21" s="12" t="s">
        <v>291</v>
      </c>
      <c r="AH21" s="12" t="s">
        <v>292</v>
      </c>
      <c r="AI21" s="13" t="s">
        <v>278</v>
      </c>
      <c r="AJ21" s="13" t="s">
        <v>232</v>
      </c>
      <c r="AK21" s="13" t="s">
        <v>293</v>
      </c>
      <c r="AL21" s="13"/>
      <c r="AM21" s="13"/>
      <c r="AN21" s="13"/>
      <c r="AO21" s="13"/>
    </row>
    <row r="22" spans="1:41" s="2" customFormat="1" x14ac:dyDescent="0.2">
      <c r="D22" s="1"/>
      <c r="E22" s="1"/>
      <c r="AA22" s="12"/>
      <c r="AB22" s="12"/>
      <c r="AC22" s="12" t="s">
        <v>346</v>
      </c>
      <c r="AD22" s="12" t="s">
        <v>350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2"/>
      <c r="AB25" s="12"/>
      <c r="AC25" s="12" t="s">
        <v>303</v>
      </c>
      <c r="AD25" s="12" t="s">
        <v>282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10" t="s">
        <v>311</v>
      </c>
      <c r="AJ27" s="10" t="s">
        <v>220</v>
      </c>
      <c r="AK27" s="10" t="s">
        <v>312</v>
      </c>
      <c r="AL27" s="10" t="s">
        <v>313</v>
      </c>
      <c r="AM27" s="10" t="s">
        <v>314</v>
      </c>
      <c r="AN27" s="10" t="s">
        <v>273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2" t="s">
        <v>210</v>
      </c>
      <c r="AB29" s="12"/>
      <c r="AC29" s="12" t="s">
        <v>232</v>
      </c>
      <c r="AD29" s="12" t="s">
        <v>318</v>
      </c>
      <c r="AE29" s="12" t="s">
        <v>319</v>
      </c>
      <c r="AF29" s="12" t="s">
        <v>320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10" t="s">
        <v>332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10" t="s">
        <v>326</v>
      </c>
      <c r="AJ41" s="10" t="s">
        <v>325</v>
      </c>
      <c r="AK41" s="10" t="s">
        <v>311</v>
      </c>
      <c r="AL41" s="8" t="s">
        <v>220</v>
      </c>
      <c r="AM41" s="8" t="s">
        <v>312</v>
      </c>
      <c r="AN41" s="10" t="s">
        <v>313</v>
      </c>
      <c r="AO41" s="10" t="s">
        <v>314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10">
        <v>2</v>
      </c>
      <c r="AJ42" s="10">
        <v>8</v>
      </c>
      <c r="AK42" s="10" t="s">
        <v>368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2" t="s">
        <v>210</v>
      </c>
      <c r="AB43" s="12"/>
      <c r="AC43" s="12" t="s">
        <v>232</v>
      </c>
      <c r="AD43" s="12" t="s">
        <v>318</v>
      </c>
      <c r="AE43" s="12" t="s">
        <v>319</v>
      </c>
      <c r="AF43" s="12" t="s">
        <v>320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368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10" t="s">
        <v>332</v>
      </c>
    </row>
    <row r="46" spans="1:41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1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10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10" t="s">
        <v>278</v>
      </c>
      <c r="AJ51" s="10" t="s">
        <v>232</v>
      </c>
      <c r="AK51" s="10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10">
        <v>60</v>
      </c>
      <c r="AJ52" s="10">
        <v>10</v>
      </c>
      <c r="AK52" s="10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10" t="s">
        <v>400</v>
      </c>
      <c r="AJ53" s="10" t="s">
        <v>401</v>
      </c>
      <c r="AK53" s="10" t="s">
        <v>450</v>
      </c>
      <c r="AL53" s="10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10">
        <v>3</v>
      </c>
      <c r="AJ54" s="10" t="s">
        <v>354</v>
      </c>
      <c r="AK54" s="10">
        <v>30</v>
      </c>
      <c r="AL54" s="10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10" t="s">
        <v>379</v>
      </c>
      <c r="AJ55" s="10" t="s">
        <v>399</v>
      </c>
      <c r="AK55" s="10" t="s">
        <v>451</v>
      </c>
      <c r="AL55" s="10" t="s">
        <v>402</v>
      </c>
      <c r="AM55" s="10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10" t="s">
        <v>220</v>
      </c>
      <c r="AJ57" s="10" t="s">
        <v>403</v>
      </c>
      <c r="AK57" s="10" t="s">
        <v>406</v>
      </c>
      <c r="AL57" s="10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10" t="s">
        <v>427</v>
      </c>
      <c r="AJ63" s="10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10" t="s">
        <v>471</v>
      </c>
      <c r="AJ67" s="10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473</v>
      </c>
      <c r="B73" s="1" t="s">
        <v>474</v>
      </c>
      <c r="C73" s="1" t="s">
        <v>205</v>
      </c>
      <c r="D73" s="1" t="str">
        <f>"abilities/heroes/"&amp;LEFT(A73,LEN(A73)-2)&amp;"/"&amp;A73</f>
        <v>abilities/heroes/nevermore/nevermore_0</v>
      </c>
      <c r="E73" s="1" t="str">
        <f t="shared" si="21"/>
        <v>nevermore_0</v>
      </c>
      <c r="F73" s="1" t="s">
        <v>206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208</v>
      </c>
      <c r="Y73" s="1" t="s">
        <v>209</v>
      </c>
      <c r="AA73" s="8" t="s">
        <v>210</v>
      </c>
      <c r="AC73" s="8" t="s">
        <v>220</v>
      </c>
      <c r="AD73" s="8" t="s">
        <v>269</v>
      </c>
      <c r="AE73" s="8" t="s">
        <v>454</v>
      </c>
      <c r="AF73" s="8" t="s">
        <v>518</v>
      </c>
      <c r="AG73" s="8" t="s">
        <v>517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495</v>
      </c>
      <c r="B75" s="1" t="s">
        <v>475</v>
      </c>
      <c r="C75" s="1" t="s">
        <v>205</v>
      </c>
      <c r="D75" s="1" t="str">
        <f t="shared" ref="D75" si="26">"abilities/heroes/"&amp;LEFT(A75,LEN(A75)-2)&amp;"/"&amp;A75</f>
        <v>abilities/heroes/nevermore/nevermore_1</v>
      </c>
      <c r="E75" s="1" t="str">
        <f t="shared" si="21"/>
        <v>nevermore_1</v>
      </c>
      <c r="F75" s="1" t="s">
        <v>206</v>
      </c>
      <c r="I75" s="1">
        <v>20</v>
      </c>
      <c r="J75" s="1">
        <v>1</v>
      </c>
      <c r="K75" s="1">
        <v>3</v>
      </c>
      <c r="L75" s="1" t="s">
        <v>499</v>
      </c>
      <c r="N75" s="1">
        <v>0.55000000000000004</v>
      </c>
      <c r="Q75" s="1">
        <v>8</v>
      </c>
      <c r="U75" s="1" t="s">
        <v>494</v>
      </c>
      <c r="W75" s="1" t="s">
        <v>479</v>
      </c>
      <c r="X75" s="1" t="s">
        <v>208</v>
      </c>
      <c r="Y75" s="1" t="s">
        <v>209</v>
      </c>
      <c r="AA75" s="8" t="s">
        <v>210</v>
      </c>
      <c r="AC75" s="8" t="s">
        <v>219</v>
      </c>
      <c r="AD75" s="8" t="s">
        <v>269</v>
      </c>
      <c r="AE75" s="8" t="s">
        <v>503</v>
      </c>
      <c r="AF75" s="8" t="s">
        <v>480</v>
      </c>
      <c r="AG75" s="8" t="s">
        <v>488</v>
      </c>
      <c r="AH75" s="8" t="s">
        <v>490</v>
      </c>
      <c r="AI75" s="10" t="s">
        <v>481</v>
      </c>
      <c r="AJ75" s="10" t="s">
        <v>510</v>
      </c>
      <c r="AK75" s="10" t="s">
        <v>232</v>
      </c>
      <c r="AL75" s="10" t="s">
        <v>489</v>
      </c>
      <c r="AM75" s="10" t="s">
        <v>509</v>
      </c>
    </row>
    <row r="76" spans="1:44" x14ac:dyDescent="0.2">
      <c r="AC76" s="8" t="s">
        <v>515</v>
      </c>
      <c r="AD76" s="8" t="s">
        <v>347</v>
      </c>
      <c r="AE76" s="8">
        <v>300</v>
      </c>
      <c r="AF76" s="8">
        <v>3</v>
      </c>
      <c r="AG76" s="8" t="s">
        <v>493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496</v>
      </c>
      <c r="B77" s="1" t="s">
        <v>477</v>
      </c>
      <c r="C77" s="1" t="s">
        <v>205</v>
      </c>
      <c r="D77" s="1" t="str">
        <f t="shared" ref="D77" si="27">"abilities/heroes/"&amp;LEFT(A77,LEN(A77)-2)&amp;"/"&amp;A77</f>
        <v>abilities/heroes/nevermore/nevermore_2</v>
      </c>
      <c r="E77" s="1" t="str">
        <f t="shared" si="21"/>
        <v>nevermore_2</v>
      </c>
      <c r="F77" s="1" t="s">
        <v>206</v>
      </c>
      <c r="I77" s="1">
        <v>20</v>
      </c>
      <c r="J77" s="1">
        <v>1</v>
      </c>
      <c r="K77" s="1">
        <v>3</v>
      </c>
      <c r="L77" s="1" t="s">
        <v>500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218</v>
      </c>
      <c r="W77" s="1" t="s">
        <v>88</v>
      </c>
      <c r="X77" s="1" t="s">
        <v>208</v>
      </c>
      <c r="Y77" s="1" t="s">
        <v>209</v>
      </c>
      <c r="AA77" s="8" t="s">
        <v>210</v>
      </c>
      <c r="AC77" s="8" t="s">
        <v>219</v>
      </c>
      <c r="AD77" s="8" t="s">
        <v>269</v>
      </c>
      <c r="AE77" s="8" t="s">
        <v>231</v>
      </c>
      <c r="AF77" s="8" t="s">
        <v>403</v>
      </c>
      <c r="AG77" s="8" t="s">
        <v>312</v>
      </c>
      <c r="AH77" s="8" t="s">
        <v>232</v>
      </c>
      <c r="AI77" s="8" t="s">
        <v>220</v>
      </c>
      <c r="AJ77" s="10" t="s">
        <v>233</v>
      </c>
    </row>
    <row r="78" spans="1:44" x14ac:dyDescent="0.2">
      <c r="AC78" s="8" t="s">
        <v>343</v>
      </c>
      <c r="AD78" s="8" t="s">
        <v>354</v>
      </c>
      <c r="AE78" s="8" t="s">
        <v>516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497</v>
      </c>
      <c r="B79" s="1" t="s">
        <v>478</v>
      </c>
      <c r="C79" s="1" t="s">
        <v>205</v>
      </c>
      <c r="D79" s="1" t="str">
        <f t="shared" ref="D79" si="28">"abilities/heroes/"&amp;LEFT(A79,LEN(A79)-2)&amp;"/"&amp;A79</f>
        <v>abilities/heroes/nevermore/nevermore_3</v>
      </c>
      <c r="E79" s="1" t="str">
        <f t="shared" si="21"/>
        <v>nevermore_3</v>
      </c>
      <c r="F79" s="1" t="s">
        <v>206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492</v>
      </c>
      <c r="AA79" s="8" t="s">
        <v>210</v>
      </c>
      <c r="AC79" s="8" t="s">
        <v>482</v>
      </c>
      <c r="AD79" s="8" t="s">
        <v>254</v>
      </c>
      <c r="AE79" s="8" t="s">
        <v>483</v>
      </c>
      <c r="AF79" s="8" t="s">
        <v>238</v>
      </c>
    </row>
    <row r="80" spans="1:44" x14ac:dyDescent="0.2">
      <c r="AC80" s="8" t="s">
        <v>354</v>
      </c>
      <c r="AD80" s="8" t="s">
        <v>348</v>
      </c>
      <c r="AE80" s="8">
        <v>2</v>
      </c>
      <c r="AF80" s="8" t="s">
        <v>340</v>
      </c>
    </row>
    <row r="81" spans="1:40" x14ac:dyDescent="0.2">
      <c r="A81" s="1" t="s">
        <v>498</v>
      </c>
      <c r="B81" s="1" t="s">
        <v>476</v>
      </c>
      <c r="C81" s="1" t="s">
        <v>205</v>
      </c>
      <c r="D81" s="1" t="str">
        <f t="shared" ref="D81" si="29">"abilities/heroes/"&amp;LEFT(A81,LEN(A81)-2)&amp;"/"&amp;A81</f>
        <v>abilities/heroes/nevermore/nevermore_4</v>
      </c>
      <c r="E81" s="1" t="str">
        <f t="shared" si="21"/>
        <v>nevermore_4</v>
      </c>
      <c r="F81" s="1" t="s">
        <v>245</v>
      </c>
      <c r="I81" s="1">
        <v>8</v>
      </c>
      <c r="J81" s="1">
        <v>8</v>
      </c>
      <c r="K81" s="1">
        <v>24</v>
      </c>
      <c r="L81" s="1" t="s">
        <v>501</v>
      </c>
      <c r="N81" s="1">
        <v>1.67</v>
      </c>
      <c r="Q81" s="1">
        <v>50</v>
      </c>
      <c r="S81" s="1">
        <v>1</v>
      </c>
      <c r="T81" s="1">
        <v>2</v>
      </c>
      <c r="U81" s="1" t="s">
        <v>502</v>
      </c>
      <c r="W81" s="1" t="s">
        <v>88</v>
      </c>
      <c r="X81" s="1" t="s">
        <v>208</v>
      </c>
      <c r="Y81" s="1" t="s">
        <v>209</v>
      </c>
      <c r="AA81" s="8" t="s">
        <v>210</v>
      </c>
      <c r="AC81" s="8" t="s">
        <v>219</v>
      </c>
      <c r="AD81" s="8" t="s">
        <v>269</v>
      </c>
      <c r="AE81" s="8" t="s">
        <v>485</v>
      </c>
      <c r="AF81" s="8" t="s">
        <v>272</v>
      </c>
      <c r="AG81" s="8" t="s">
        <v>486</v>
      </c>
      <c r="AH81" s="8" t="s">
        <v>487</v>
      </c>
      <c r="AI81" s="8" t="s">
        <v>504</v>
      </c>
      <c r="AJ81" s="10" t="s">
        <v>505</v>
      </c>
      <c r="AK81" s="10" t="s">
        <v>511</v>
      </c>
      <c r="AL81" s="10" t="s">
        <v>512</v>
      </c>
      <c r="AM81" s="10" t="s">
        <v>513</v>
      </c>
      <c r="AN81" s="10" t="s">
        <v>514</v>
      </c>
    </row>
    <row r="82" spans="1:40" x14ac:dyDescent="0.2">
      <c r="AC82" s="8" t="s">
        <v>508</v>
      </c>
      <c r="AD82" s="8" t="s">
        <v>484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519</v>
      </c>
      <c r="B83" s="1" t="s">
        <v>520</v>
      </c>
      <c r="C83" s="1" t="s">
        <v>205</v>
      </c>
      <c r="D83" s="1" t="str">
        <f t="shared" ref="D83" si="30">"abilities/heroes/"&amp;LEFT(A83,LEN(A83)-2)&amp;"/"&amp;A83</f>
        <v>abilities/heroes/rubick/rubick_0</v>
      </c>
      <c r="E83" s="1" t="str">
        <f t="shared" si="21"/>
        <v>rubick_0</v>
      </c>
      <c r="F83" s="1" t="s">
        <v>206</v>
      </c>
      <c r="I83" s="1">
        <v>1</v>
      </c>
      <c r="S83" s="1">
        <v>1</v>
      </c>
      <c r="T83" s="1">
        <v>1</v>
      </c>
      <c r="W83" s="1" t="s">
        <v>0</v>
      </c>
      <c r="X83" s="1" t="s">
        <v>208</v>
      </c>
      <c r="Y83" s="1" t="s">
        <v>209</v>
      </c>
      <c r="Z83" s="1" t="s">
        <v>524</v>
      </c>
      <c r="AA83" s="8" t="s">
        <v>210</v>
      </c>
      <c r="AB83" s="8" t="s">
        <v>412</v>
      </c>
      <c r="AC83" s="8" t="s">
        <v>269</v>
      </c>
      <c r="AD83" s="8" t="s">
        <v>539</v>
      </c>
      <c r="AE83" s="8" t="s">
        <v>220</v>
      </c>
      <c r="AF83" s="8" t="s">
        <v>541</v>
      </c>
      <c r="AG83" s="8" t="s">
        <v>550</v>
      </c>
      <c r="AH83" s="8" t="s">
        <v>551</v>
      </c>
      <c r="AI83" s="10" t="s">
        <v>552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526</v>
      </c>
      <c r="B85" s="1" t="s">
        <v>530</v>
      </c>
      <c r="C85" s="1" t="s">
        <v>205</v>
      </c>
      <c r="D85" s="1" t="str">
        <f t="shared" ref="D85" si="31">"abilities/heroes/"&amp;LEFT(A85,LEN(A85)-2)&amp;"/"&amp;A85</f>
        <v>abilities/heroes/rubick/rubick_1</v>
      </c>
      <c r="E85" s="1" t="str">
        <f t="shared" si="21"/>
        <v>rubick_1</v>
      </c>
      <c r="F85" s="1" t="s">
        <v>206</v>
      </c>
      <c r="G85" s="1" t="s">
        <v>460</v>
      </c>
      <c r="I85" s="1">
        <v>20</v>
      </c>
      <c r="J85" s="1">
        <v>1</v>
      </c>
      <c r="K85" s="1">
        <v>3</v>
      </c>
      <c r="L85" s="1" t="s">
        <v>448</v>
      </c>
      <c r="M85" s="1">
        <v>1400</v>
      </c>
      <c r="Q85" s="1">
        <v>13</v>
      </c>
      <c r="U85" s="1" t="s">
        <v>218</v>
      </c>
      <c r="W85" s="1" t="s">
        <v>308</v>
      </c>
      <c r="X85" s="1" t="s">
        <v>208</v>
      </c>
      <c r="Y85" s="1" t="s">
        <v>209</v>
      </c>
      <c r="AA85" s="8" t="s">
        <v>210</v>
      </c>
      <c r="AC85" s="8" t="s">
        <v>219</v>
      </c>
      <c r="AD85" s="8" t="s">
        <v>537</v>
      </c>
      <c r="AE85" s="8" t="s">
        <v>523</v>
      </c>
      <c r="AF85" s="8" t="s">
        <v>522</v>
      </c>
      <c r="AG85" s="8" t="s">
        <v>542</v>
      </c>
      <c r="AH85" s="8" t="s">
        <v>220</v>
      </c>
      <c r="AI85" s="8" t="s">
        <v>320</v>
      </c>
      <c r="AJ85" s="10" t="s">
        <v>211</v>
      </c>
    </row>
    <row r="86" spans="1:40" x14ac:dyDescent="0.2">
      <c r="AC86" s="8" t="s">
        <v>343</v>
      </c>
      <c r="AD86" s="8" t="s">
        <v>354</v>
      </c>
      <c r="AE86" s="8">
        <v>0.6</v>
      </c>
      <c r="AF86" s="8">
        <v>2</v>
      </c>
      <c r="AG86" s="8" t="s">
        <v>347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527</v>
      </c>
      <c r="B87" s="1" t="s">
        <v>531</v>
      </c>
      <c r="C87" s="1" t="s">
        <v>205</v>
      </c>
      <c r="D87" s="1" t="str">
        <f t="shared" ref="D87" si="32">"abilities/heroes/"&amp;LEFT(A87,LEN(A87)-2)&amp;"/"&amp;A87</f>
        <v>abilities/heroes/rubick/rubick_2</v>
      </c>
      <c r="E87" s="1" t="str">
        <f t="shared" si="21"/>
        <v>rubick_2</v>
      </c>
      <c r="F87" s="1" t="s">
        <v>206</v>
      </c>
      <c r="I87" s="1">
        <v>20</v>
      </c>
      <c r="J87" s="1">
        <v>1</v>
      </c>
      <c r="K87" s="1">
        <v>3</v>
      </c>
      <c r="L87" s="1" t="s">
        <v>545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534</v>
      </c>
      <c r="W87" s="1" t="s">
        <v>308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288</v>
      </c>
      <c r="AF87" s="8" t="s">
        <v>220</v>
      </c>
      <c r="AG87" s="8" t="s">
        <v>548</v>
      </c>
      <c r="AH87" s="8" t="s">
        <v>549</v>
      </c>
      <c r="AI87" s="8" t="s">
        <v>546</v>
      </c>
      <c r="AJ87" s="8" t="s">
        <v>547</v>
      </c>
      <c r="AK87" s="10" t="s">
        <v>553</v>
      </c>
    </row>
    <row r="88" spans="1:40" x14ac:dyDescent="0.2">
      <c r="AC88" s="8" t="s">
        <v>345</v>
      </c>
      <c r="AD88" s="8" t="s">
        <v>347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</row>
    <row r="89" spans="1:40" x14ac:dyDescent="0.2">
      <c r="A89" s="1" t="s">
        <v>528</v>
      </c>
      <c r="B89" s="1" t="s">
        <v>532</v>
      </c>
      <c r="C89" s="1" t="s">
        <v>205</v>
      </c>
      <c r="D89" s="1" t="str">
        <f t="shared" ref="D89" si="33">"abilities/heroes/"&amp;LEFT(A89,LEN(A89)-2)&amp;"/"&amp;A89</f>
        <v>abilities/heroes/rubick/rubick_3</v>
      </c>
      <c r="E89" s="1" t="str">
        <f t="shared" si="21"/>
        <v>rubick_3</v>
      </c>
      <c r="F89" s="1" t="s">
        <v>206</v>
      </c>
      <c r="G89" s="1" t="s">
        <v>460</v>
      </c>
      <c r="I89" s="1">
        <v>20</v>
      </c>
      <c r="J89" s="1">
        <v>1</v>
      </c>
      <c r="K89" s="1">
        <v>3</v>
      </c>
      <c r="L89" s="1" t="s">
        <v>226</v>
      </c>
      <c r="M89" s="1">
        <v>1400</v>
      </c>
      <c r="Q89" s="1">
        <v>18</v>
      </c>
      <c r="S89" s="1">
        <v>1</v>
      </c>
      <c r="T89" s="1">
        <v>3</v>
      </c>
      <c r="U89" s="1" t="s">
        <v>535</v>
      </c>
      <c r="W89" s="1" t="s">
        <v>308</v>
      </c>
      <c r="X89" s="1" t="s">
        <v>208</v>
      </c>
      <c r="Y89" s="1" t="s">
        <v>209</v>
      </c>
      <c r="Z89" s="1" t="s">
        <v>524</v>
      </c>
      <c r="AA89" s="8" t="s">
        <v>210</v>
      </c>
      <c r="AB89" s="8" t="s">
        <v>412</v>
      </c>
      <c r="AC89" s="8" t="s">
        <v>219</v>
      </c>
      <c r="AD89" s="8" t="s">
        <v>269</v>
      </c>
      <c r="AE89" s="8" t="s">
        <v>288</v>
      </c>
      <c r="AF89" s="8" t="s">
        <v>220</v>
      </c>
      <c r="AG89" s="8" t="s">
        <v>232</v>
      </c>
      <c r="AH89" s="8" t="s">
        <v>320</v>
      </c>
      <c r="AI89" s="8" t="s">
        <v>546</v>
      </c>
      <c r="AJ89" s="8" t="s">
        <v>233</v>
      </c>
    </row>
    <row r="90" spans="1:40" x14ac:dyDescent="0.2">
      <c r="AC90" s="8" t="s">
        <v>345</v>
      </c>
      <c r="AD90" s="8" t="s">
        <v>347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529</v>
      </c>
      <c r="B91" s="1" t="s">
        <v>533</v>
      </c>
      <c r="C91" s="1" t="s">
        <v>205</v>
      </c>
      <c r="D91" s="1" t="str">
        <f t="shared" ref="D91" si="34">"abilities/heroes/"&amp;LEFT(A91,LEN(A91)-2)&amp;"/"&amp;A91</f>
        <v>abilities/heroes/rubick/rubick_4</v>
      </c>
      <c r="E91" s="1" t="str">
        <f t="shared" si="21"/>
        <v>rubick_4</v>
      </c>
      <c r="F91" s="1" t="s">
        <v>245</v>
      </c>
      <c r="G91" s="1" t="s">
        <v>460</v>
      </c>
      <c r="I91" s="1">
        <v>8</v>
      </c>
      <c r="J91" s="1">
        <v>8</v>
      </c>
      <c r="K91" s="1">
        <v>24</v>
      </c>
      <c r="L91" s="1" t="s">
        <v>410</v>
      </c>
      <c r="M91" s="1">
        <v>1000</v>
      </c>
      <c r="Q91" s="1">
        <v>40</v>
      </c>
      <c r="S91" s="1">
        <v>1</v>
      </c>
      <c r="T91" s="1">
        <v>4</v>
      </c>
      <c r="U91" s="1" t="s">
        <v>536</v>
      </c>
      <c r="W91" s="1" t="s">
        <v>308</v>
      </c>
      <c r="X91" s="1" t="s">
        <v>208</v>
      </c>
      <c r="Y91" s="1" t="s">
        <v>209</v>
      </c>
      <c r="Z91" s="1" t="s">
        <v>524</v>
      </c>
      <c r="AA91" s="8" t="s">
        <v>210</v>
      </c>
      <c r="AB91" s="8" t="s">
        <v>412</v>
      </c>
      <c r="AC91" s="8" t="s">
        <v>219</v>
      </c>
      <c r="AD91" s="8" t="s">
        <v>269</v>
      </c>
      <c r="AE91" s="8" t="s">
        <v>278</v>
      </c>
      <c r="AF91" s="8" t="s">
        <v>418</v>
      </c>
      <c r="AG91" s="8" t="s">
        <v>220</v>
      </c>
      <c r="AH91" s="8" t="s">
        <v>320</v>
      </c>
      <c r="AI91" s="10" t="s">
        <v>525</v>
      </c>
      <c r="AJ91" s="10" t="s">
        <v>318</v>
      </c>
      <c r="AK91" s="10" t="s">
        <v>403</v>
      </c>
      <c r="AL91" s="10" t="s">
        <v>234</v>
      </c>
    </row>
    <row r="92" spans="1:40" x14ac:dyDescent="0.2">
      <c r="AC92" s="8" t="s">
        <v>538</v>
      </c>
      <c r="AD92" s="8" t="s">
        <v>540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3" spans="1:40" x14ac:dyDescent="0.2">
      <c r="A93" s="1" t="s">
        <v>554</v>
      </c>
      <c r="B93" s="1" t="s">
        <v>555</v>
      </c>
      <c r="C93" s="1" t="s">
        <v>205</v>
      </c>
      <c r="D93" s="1" t="str">
        <f t="shared" ref="D93" si="35">"abilities/heroes/"&amp;LEFT(A93,LEN(A93)-2)&amp;"/"&amp;A93</f>
        <v>abilities/heroes/windrunner/windrunner_0</v>
      </c>
      <c r="E93" s="1" t="str">
        <f t="shared" si="21"/>
        <v>windrunner_0</v>
      </c>
      <c r="F93" s="1" t="s">
        <v>206</v>
      </c>
      <c r="G93" s="1" t="s">
        <v>459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567</v>
      </c>
      <c r="X93" s="1" t="s">
        <v>208</v>
      </c>
      <c r="Y93" s="1" t="s">
        <v>209</v>
      </c>
      <c r="Z93" s="1" t="s">
        <v>524</v>
      </c>
      <c r="AA93" s="8" t="s">
        <v>364</v>
      </c>
      <c r="AB93" s="8" t="s">
        <v>412</v>
      </c>
      <c r="AC93" s="8" t="s">
        <v>282</v>
      </c>
      <c r="AD93" s="8" t="s">
        <v>238</v>
      </c>
      <c r="AE93" s="8" t="s">
        <v>568</v>
      </c>
      <c r="AF93" s="8" t="s">
        <v>232</v>
      </c>
      <c r="AG93" s="8" t="s">
        <v>560</v>
      </c>
      <c r="AH93" s="8" t="s">
        <v>235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561</v>
      </c>
      <c r="B95" s="1" t="s">
        <v>556</v>
      </c>
      <c r="C95" s="1" t="s">
        <v>205</v>
      </c>
      <c r="D95" s="1" t="str">
        <f t="shared" ref="D95" si="36">"abilities/heroes/"&amp;LEFT(A95,LEN(A95)-2)&amp;"/"&amp;A95</f>
        <v>abilities/heroes/windrunner/windrunner_1</v>
      </c>
      <c r="E95" s="1" t="str">
        <f t="shared" si="21"/>
        <v>windrunner_1</v>
      </c>
      <c r="F95" s="1" t="s">
        <v>206</v>
      </c>
      <c r="I95" s="1">
        <v>20</v>
      </c>
      <c r="J95" s="1">
        <v>1</v>
      </c>
      <c r="K95" s="1">
        <v>3</v>
      </c>
      <c r="L95" s="1" t="s">
        <v>226</v>
      </c>
      <c r="M95" s="1">
        <v>1500</v>
      </c>
      <c r="Q95" s="1">
        <v>9</v>
      </c>
      <c r="S95" s="1">
        <v>1</v>
      </c>
      <c r="T95" s="1">
        <v>4</v>
      </c>
      <c r="U95" s="1" t="s">
        <v>372</v>
      </c>
      <c r="V95" s="1">
        <v>1</v>
      </c>
      <c r="W95" s="1" t="s">
        <v>572</v>
      </c>
      <c r="X95" s="1" t="s">
        <v>208</v>
      </c>
      <c r="Y95" s="1" t="s">
        <v>209</v>
      </c>
      <c r="AA95" s="8" t="s">
        <v>364</v>
      </c>
      <c r="AC95" s="8" t="s">
        <v>219</v>
      </c>
      <c r="AD95" s="8" t="s">
        <v>269</v>
      </c>
      <c r="AE95" s="8" t="s">
        <v>570</v>
      </c>
      <c r="AF95" s="8" t="s">
        <v>273</v>
      </c>
      <c r="AG95" s="8" t="s">
        <v>220</v>
      </c>
      <c r="AH95" s="8" t="s">
        <v>288</v>
      </c>
      <c r="AI95" s="8" t="s">
        <v>553</v>
      </c>
      <c r="AJ95" s="10" t="s">
        <v>585</v>
      </c>
      <c r="AK95" s="10" t="s">
        <v>584</v>
      </c>
      <c r="AL95" s="10" t="s">
        <v>293</v>
      </c>
    </row>
    <row r="96" spans="1:40" x14ac:dyDescent="0.2">
      <c r="AC96" s="8" t="s">
        <v>569</v>
      </c>
      <c r="AD96" s="8" t="s">
        <v>354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10">
        <v>800</v>
      </c>
      <c r="AK96" s="10">
        <v>60</v>
      </c>
      <c r="AL96" s="10">
        <v>15</v>
      </c>
    </row>
    <row r="97" spans="1:39" x14ac:dyDescent="0.2">
      <c r="A97" s="1" t="s">
        <v>562</v>
      </c>
      <c r="B97" s="1" t="s">
        <v>557</v>
      </c>
      <c r="C97" s="1" t="s">
        <v>205</v>
      </c>
      <c r="D97" s="1" t="str">
        <f t="shared" ref="D97" si="37">"abilities/heroes/"&amp;LEFT(A97,LEN(A97)-2)&amp;"/"&amp;A97</f>
        <v>abilities/heroes/windrunner/windrunner_2</v>
      </c>
      <c r="E97" s="1" t="str">
        <f t="shared" si="21"/>
        <v>windrunner_2</v>
      </c>
      <c r="F97" s="1" t="s">
        <v>206</v>
      </c>
      <c r="G97" s="1" t="s">
        <v>459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208</v>
      </c>
      <c r="Y97" s="1" t="s">
        <v>209</v>
      </c>
      <c r="AA97" s="8" t="s">
        <v>210</v>
      </c>
      <c r="AC97" s="8" t="s">
        <v>586</v>
      </c>
      <c r="AD97" s="8" t="s">
        <v>219</v>
      </c>
      <c r="AE97" s="8" t="s">
        <v>269</v>
      </c>
      <c r="AF97" s="8" t="s">
        <v>232</v>
      </c>
      <c r="AG97" s="8" t="s">
        <v>211</v>
      </c>
      <c r="AH97" s="8" t="s">
        <v>272</v>
      </c>
      <c r="AI97" s="8" t="s">
        <v>468</v>
      </c>
      <c r="AJ97" s="10" t="s">
        <v>587</v>
      </c>
      <c r="AK97" s="10" t="s">
        <v>313</v>
      </c>
      <c r="AL97" s="10" t="s">
        <v>273</v>
      </c>
    </row>
    <row r="98" spans="1:39" x14ac:dyDescent="0.2">
      <c r="AC98" s="8">
        <v>3</v>
      </c>
      <c r="AD98" s="8" t="s">
        <v>345</v>
      </c>
      <c r="AE98" s="8" t="s">
        <v>347</v>
      </c>
      <c r="AF98" s="8">
        <v>12</v>
      </c>
      <c r="AG98" s="8">
        <v>1</v>
      </c>
      <c r="AH98" s="8">
        <v>1200</v>
      </c>
      <c r="AI98" s="8">
        <v>150</v>
      </c>
      <c r="AJ98" s="10" t="s">
        <v>347</v>
      </c>
      <c r="AK98" s="10">
        <v>4</v>
      </c>
      <c r="AL98" s="10">
        <v>1200</v>
      </c>
    </row>
    <row r="99" spans="1:39" x14ac:dyDescent="0.2">
      <c r="A99" s="1" t="s">
        <v>563</v>
      </c>
      <c r="B99" s="1" t="s">
        <v>558</v>
      </c>
      <c r="C99" s="1" t="s">
        <v>205</v>
      </c>
      <c r="D99" s="1" t="str">
        <f t="shared" ref="D99" si="38">"abilities/heroes/"&amp;LEFT(A99,LEN(A99)-2)&amp;"/"&amp;A99</f>
        <v>abilities/heroes/windrunner/windrunner_3</v>
      </c>
      <c r="E99" s="1" t="str">
        <f t="shared" si="21"/>
        <v>windrunner_3</v>
      </c>
      <c r="F99" s="1" t="s">
        <v>206</v>
      </c>
      <c r="G99" s="1" t="s">
        <v>459</v>
      </c>
      <c r="I99" s="1">
        <v>20</v>
      </c>
      <c r="J99" s="1">
        <v>1</v>
      </c>
      <c r="K99" s="1">
        <v>3</v>
      </c>
      <c r="L99" s="1" t="s">
        <v>306</v>
      </c>
      <c r="O99" s="1">
        <v>2</v>
      </c>
      <c r="P99" s="1">
        <v>12</v>
      </c>
      <c r="U99" s="1" t="s">
        <v>307</v>
      </c>
      <c r="W99" s="1" t="s">
        <v>571</v>
      </c>
      <c r="X99" s="1" t="s">
        <v>208</v>
      </c>
      <c r="Y99" s="1" t="s">
        <v>209</v>
      </c>
      <c r="AC99" s="8" t="s">
        <v>251</v>
      </c>
      <c r="AD99" s="8" t="s">
        <v>579</v>
      </c>
      <c r="AE99" s="8" t="s">
        <v>580</v>
      </c>
      <c r="AF99" s="8" t="s">
        <v>220</v>
      </c>
      <c r="AG99" s="8" t="s">
        <v>232</v>
      </c>
      <c r="AI99" s="8"/>
      <c r="AJ99" s="8"/>
    </row>
    <row r="100" spans="1:39" x14ac:dyDescent="0.2">
      <c r="AC100" s="8" t="s">
        <v>575</v>
      </c>
      <c r="AD100" s="8" t="s">
        <v>578</v>
      </c>
      <c r="AE100" s="8" t="s">
        <v>391</v>
      </c>
      <c r="AF100" s="8">
        <v>325</v>
      </c>
      <c r="AG100" s="8">
        <v>4</v>
      </c>
      <c r="AI100" s="8"/>
      <c r="AJ100" s="8"/>
    </row>
    <row r="101" spans="1:39" x14ac:dyDescent="0.2">
      <c r="A101" s="1" t="s">
        <v>564</v>
      </c>
      <c r="B101" s="1" t="s">
        <v>559</v>
      </c>
      <c r="C101" s="1" t="s">
        <v>205</v>
      </c>
      <c r="D101" s="1" t="str">
        <f t="shared" ref="D101" si="39">"abilities/heroes/"&amp;LEFT(A101,LEN(A101)-2)&amp;"/"&amp;A101</f>
        <v>abilities/heroes/windrunner/windrunner_4</v>
      </c>
      <c r="E101" s="1" t="str">
        <f t="shared" si="21"/>
        <v>windrunner_4</v>
      </c>
      <c r="F101" s="1" t="s">
        <v>245</v>
      </c>
      <c r="I101" s="1">
        <v>8</v>
      </c>
      <c r="J101" s="1">
        <v>8</v>
      </c>
      <c r="K101" s="1">
        <v>24</v>
      </c>
      <c r="L101" s="1" t="s">
        <v>448</v>
      </c>
      <c r="N101" s="1">
        <v>0.3</v>
      </c>
      <c r="Q101" s="1">
        <v>90</v>
      </c>
      <c r="S101" s="1">
        <v>1</v>
      </c>
      <c r="T101" s="1" t="s">
        <v>583</v>
      </c>
      <c r="U101" s="1" t="s">
        <v>502</v>
      </c>
      <c r="W101" s="1" t="s">
        <v>88</v>
      </c>
      <c r="X101" s="1" t="s">
        <v>208</v>
      </c>
      <c r="Y101" s="1" t="s">
        <v>209</v>
      </c>
      <c r="AA101" s="8" t="s">
        <v>364</v>
      </c>
      <c r="AB101" s="8" t="s">
        <v>412</v>
      </c>
      <c r="AC101" s="8" t="s">
        <v>219</v>
      </c>
      <c r="AD101" s="8" t="s">
        <v>269</v>
      </c>
      <c r="AE101" s="8" t="s">
        <v>573</v>
      </c>
      <c r="AF101" s="8" t="s">
        <v>220</v>
      </c>
      <c r="AG101" s="8" t="s">
        <v>232</v>
      </c>
      <c r="AH101" s="8" t="s">
        <v>288</v>
      </c>
      <c r="AI101" s="10" t="s">
        <v>320</v>
      </c>
      <c r="AJ101" s="10" t="s">
        <v>212</v>
      </c>
      <c r="AK101" s="10" t="s">
        <v>581</v>
      </c>
      <c r="AL101" s="10" t="s">
        <v>233</v>
      </c>
      <c r="AM101" s="10" t="s">
        <v>582</v>
      </c>
    </row>
    <row r="102" spans="1:39" x14ac:dyDescent="0.2">
      <c r="AC102" s="8" t="s">
        <v>538</v>
      </c>
      <c r="AD102" s="8" t="s">
        <v>574</v>
      </c>
      <c r="AE102" s="8">
        <v>200</v>
      </c>
      <c r="AF102" s="8">
        <v>1200</v>
      </c>
      <c r="AG102" s="8">
        <v>4</v>
      </c>
      <c r="AH102" s="8">
        <v>0.5</v>
      </c>
      <c r="AI102" s="10">
        <v>0.03</v>
      </c>
      <c r="AJ102" s="10">
        <v>40</v>
      </c>
      <c r="AK102" s="10">
        <v>4</v>
      </c>
      <c r="AL102" s="10">
        <v>8</v>
      </c>
      <c r="AM102" s="10">
        <v>1</v>
      </c>
    </row>
    <row r="103" spans="1:39" x14ac:dyDescent="0.2">
      <c r="A103" s="1" t="s">
        <v>591</v>
      </c>
      <c r="B103" s="1" t="s">
        <v>592</v>
      </c>
      <c r="C103" s="1" t="s">
        <v>205</v>
      </c>
      <c r="D103" s="1" t="str">
        <f t="shared" ref="D103" si="40">"abilities/heroes/"&amp;LEFT(A103,LEN(A103)-2)&amp;"/"&amp;A103</f>
        <v>abilities/heroes/crystal_maiden/crystal_maiden_0</v>
      </c>
      <c r="E103" s="1" t="str">
        <f t="shared" si="21"/>
        <v>crystal_maiden_0</v>
      </c>
      <c r="F103" s="1" t="s">
        <v>206</v>
      </c>
      <c r="I103" s="1">
        <v>1</v>
      </c>
      <c r="L103" s="1" t="s">
        <v>226</v>
      </c>
      <c r="M103" s="1">
        <v>1200</v>
      </c>
      <c r="N103" s="1">
        <v>0.3</v>
      </c>
      <c r="Q103" s="1">
        <v>15</v>
      </c>
      <c r="S103" s="1">
        <v>1</v>
      </c>
      <c r="T103" s="1" t="s">
        <v>618</v>
      </c>
      <c r="U103" s="1">
        <v>50</v>
      </c>
      <c r="W103" s="1" t="s">
        <v>5</v>
      </c>
      <c r="X103" s="1" t="s">
        <v>597</v>
      </c>
      <c r="Y103" s="1" t="s">
        <v>209</v>
      </c>
      <c r="AC103" s="8" t="s">
        <v>232</v>
      </c>
      <c r="AD103" s="8" t="s">
        <v>220</v>
      </c>
      <c r="AE103" s="8" t="s">
        <v>580</v>
      </c>
      <c r="AF103" s="8" t="s">
        <v>599</v>
      </c>
      <c r="AG103" s="8" t="s">
        <v>600</v>
      </c>
      <c r="AH103" s="8" t="s">
        <v>550</v>
      </c>
      <c r="AI103" s="10" t="s">
        <v>617</v>
      </c>
    </row>
    <row r="104" spans="1:39" x14ac:dyDescent="0.2">
      <c r="AC104" s="8">
        <v>5</v>
      </c>
      <c r="AD104" s="8">
        <v>275</v>
      </c>
      <c r="AE104" s="8">
        <v>8</v>
      </c>
      <c r="AF104" s="8">
        <v>900</v>
      </c>
      <c r="AG104" s="8">
        <v>10</v>
      </c>
      <c r="AH104" s="8">
        <v>5</v>
      </c>
      <c r="AI104" s="10">
        <v>2</v>
      </c>
    </row>
    <row r="105" spans="1:39" x14ac:dyDescent="0.2">
      <c r="A105" s="1" t="s">
        <v>601</v>
      </c>
      <c r="B105" s="1" t="s">
        <v>593</v>
      </c>
      <c r="C105" s="1" t="s">
        <v>205</v>
      </c>
      <c r="D105" s="1" t="str">
        <f t="shared" ref="D105" si="41">"abilities/heroes/"&amp;LEFT(A105,LEN(A105)-2)&amp;"/"&amp;A105</f>
        <v>abilities/heroes/crystal_maiden/crystal_maiden_1</v>
      </c>
      <c r="E105" s="1" t="str">
        <f t="shared" si="21"/>
        <v>crystal_maiden_1</v>
      </c>
      <c r="F105" s="1" t="s">
        <v>206</v>
      </c>
      <c r="I105" s="1">
        <v>20</v>
      </c>
      <c r="J105" s="1">
        <v>1</v>
      </c>
      <c r="K105" s="1">
        <v>3</v>
      </c>
      <c r="L105" s="1" t="s">
        <v>448</v>
      </c>
      <c r="N105" s="1">
        <v>0.3</v>
      </c>
      <c r="O105" s="1">
        <v>3</v>
      </c>
      <c r="P105" s="1">
        <v>15</v>
      </c>
      <c r="U105" s="1" t="s">
        <v>218</v>
      </c>
      <c r="W105" s="1" t="s">
        <v>88</v>
      </c>
      <c r="X105" s="1" t="s">
        <v>208</v>
      </c>
      <c r="Y105" s="1" t="s">
        <v>209</v>
      </c>
      <c r="AA105" s="8" t="s">
        <v>210</v>
      </c>
      <c r="AC105" s="8" t="s">
        <v>219</v>
      </c>
      <c r="AD105" s="8" t="s">
        <v>269</v>
      </c>
      <c r="AE105" s="8" t="s">
        <v>598</v>
      </c>
      <c r="AF105" s="8" t="s">
        <v>232</v>
      </c>
      <c r="AG105" s="8" t="s">
        <v>278</v>
      </c>
      <c r="AH105" s="8" t="s">
        <v>418</v>
      </c>
      <c r="AI105" s="10" t="s">
        <v>220</v>
      </c>
      <c r="AJ105" s="10" t="s">
        <v>608</v>
      </c>
      <c r="AK105" s="10" t="s">
        <v>609</v>
      </c>
      <c r="AL105" s="10" t="s">
        <v>613</v>
      </c>
    </row>
    <row r="106" spans="1:39" x14ac:dyDescent="0.2">
      <c r="AC106" s="8" t="s">
        <v>384</v>
      </c>
      <c r="AD106" s="8" t="s">
        <v>349</v>
      </c>
      <c r="AE106" s="8">
        <v>1.2</v>
      </c>
      <c r="AF106" s="8">
        <v>6</v>
      </c>
      <c r="AG106" s="8" t="s">
        <v>606</v>
      </c>
      <c r="AH106" s="8" t="s">
        <v>606</v>
      </c>
      <c r="AI106" s="10">
        <v>900</v>
      </c>
      <c r="AJ106" s="10">
        <v>100</v>
      </c>
      <c r="AK106" s="10">
        <v>30</v>
      </c>
      <c r="AL106" s="10">
        <v>0.3</v>
      </c>
    </row>
    <row r="107" spans="1:39" x14ac:dyDescent="0.2">
      <c r="A107" s="1" t="s">
        <v>602</v>
      </c>
      <c r="B107" s="1" t="s">
        <v>594</v>
      </c>
      <c r="C107" s="1" t="s">
        <v>205</v>
      </c>
      <c r="D107" s="1" t="str">
        <f t="shared" ref="D107" si="42">"abilities/heroes/"&amp;LEFT(A107,LEN(A107)-2)&amp;"/"&amp;A107</f>
        <v>abilities/heroes/crystal_maiden/crystal_maiden_2</v>
      </c>
      <c r="E107" s="1" t="str">
        <f t="shared" si="21"/>
        <v>crystal_maiden_2</v>
      </c>
      <c r="F107" s="1" t="s">
        <v>206</v>
      </c>
      <c r="I107" s="1">
        <v>20</v>
      </c>
      <c r="J107" s="1">
        <v>1</v>
      </c>
      <c r="K107" s="1">
        <v>3</v>
      </c>
      <c r="L107" s="1" t="s">
        <v>448</v>
      </c>
      <c r="M107" s="1">
        <v>800</v>
      </c>
      <c r="N107" s="1">
        <v>0.3</v>
      </c>
      <c r="Q107" s="1">
        <v>10</v>
      </c>
      <c r="U107" s="1" t="s">
        <v>605</v>
      </c>
      <c r="W107" s="1" t="s">
        <v>308</v>
      </c>
      <c r="X107" s="1" t="s">
        <v>208</v>
      </c>
      <c r="Y107" s="1" t="s">
        <v>209</v>
      </c>
      <c r="AA107" s="8" t="s">
        <v>210</v>
      </c>
      <c r="AC107" s="8" t="s">
        <v>219</v>
      </c>
      <c r="AD107" s="8" t="s">
        <v>269</v>
      </c>
      <c r="AE107" s="8" t="s">
        <v>232</v>
      </c>
      <c r="AF107" s="8" t="s">
        <v>220</v>
      </c>
      <c r="AG107" s="8" t="s">
        <v>312</v>
      </c>
      <c r="AH107" s="10" t="s">
        <v>607</v>
      </c>
      <c r="AI107" s="10" t="s">
        <v>320</v>
      </c>
      <c r="AJ107" s="10" t="s">
        <v>288</v>
      </c>
      <c r="AK107" s="10" t="s">
        <v>610</v>
      </c>
      <c r="AL107" s="10" t="s">
        <v>608</v>
      </c>
    </row>
    <row r="108" spans="1:39" x14ac:dyDescent="0.2">
      <c r="AC108" s="8" t="s">
        <v>345</v>
      </c>
      <c r="AD108" s="8" t="s">
        <v>347</v>
      </c>
      <c r="AE108" s="8">
        <v>6</v>
      </c>
      <c r="AF108" s="8">
        <v>300</v>
      </c>
      <c r="AG108" s="8">
        <v>50</v>
      </c>
      <c r="AH108" s="10">
        <v>3</v>
      </c>
      <c r="AI108" s="10">
        <v>0.8</v>
      </c>
      <c r="AJ108" s="10">
        <v>0.4</v>
      </c>
      <c r="AK108" s="10">
        <v>0.05</v>
      </c>
      <c r="AL108" s="10">
        <v>30</v>
      </c>
    </row>
    <row r="109" spans="1:39" x14ac:dyDescent="0.2">
      <c r="A109" s="1" t="s">
        <v>603</v>
      </c>
      <c r="B109" s="1" t="s">
        <v>595</v>
      </c>
      <c r="C109" s="1" t="s">
        <v>205</v>
      </c>
      <c r="D109" s="1" t="str">
        <f t="shared" ref="D109" si="43">"abilities/heroes/"&amp;LEFT(A109,LEN(A109)-2)&amp;"/"&amp;A109</f>
        <v>abilities/heroes/crystal_maiden/crystal_maiden_3</v>
      </c>
      <c r="E109" s="1" t="str">
        <f t="shared" si="21"/>
        <v>crystal_maiden_3</v>
      </c>
      <c r="F109" s="1" t="s">
        <v>206</v>
      </c>
      <c r="I109" s="1">
        <v>20</v>
      </c>
      <c r="J109" s="1">
        <v>1</v>
      </c>
      <c r="K109" s="1">
        <v>3</v>
      </c>
      <c r="S109" s="1">
        <v>1</v>
      </c>
      <c r="T109" s="1">
        <v>4</v>
      </c>
      <c r="W109" s="1" t="s">
        <v>0</v>
      </c>
      <c r="X109" s="1" t="s">
        <v>227</v>
      </c>
      <c r="Y109" s="1" t="s">
        <v>209</v>
      </c>
      <c r="AC109" s="8" t="s">
        <v>611</v>
      </c>
      <c r="AD109" s="8" t="s">
        <v>230</v>
      </c>
      <c r="AE109" s="8" t="s">
        <v>612</v>
      </c>
      <c r="AF109" s="8" t="s">
        <v>619</v>
      </c>
      <c r="AG109" s="8" t="s">
        <v>620</v>
      </c>
    </row>
    <row r="110" spans="1:39" x14ac:dyDescent="0.2">
      <c r="AC110" s="8" t="s">
        <v>621</v>
      </c>
      <c r="AD110" s="8" t="s">
        <v>387</v>
      </c>
      <c r="AE110" s="8">
        <v>15</v>
      </c>
      <c r="AF110" s="8">
        <v>3</v>
      </c>
      <c r="AG110" s="8">
        <v>1</v>
      </c>
    </row>
    <row r="111" spans="1:39" x14ac:dyDescent="0.2">
      <c r="A111" s="1" t="s">
        <v>604</v>
      </c>
      <c r="B111" s="1" t="s">
        <v>596</v>
      </c>
      <c r="C111" s="1" t="s">
        <v>205</v>
      </c>
      <c r="D111" s="1" t="str">
        <f t="shared" ref="D111" si="44">"abilities/heroes/"&amp;LEFT(A111,LEN(A111)-2)&amp;"/"&amp;A111</f>
        <v>abilities/heroes/crystal_maiden/crystal_maiden_4</v>
      </c>
      <c r="E111" s="1" t="str">
        <f t="shared" si="21"/>
        <v>crystal_maiden_4</v>
      </c>
      <c r="F111" s="1" t="s">
        <v>245</v>
      </c>
      <c r="I111" s="1">
        <v>8</v>
      </c>
      <c r="J111" s="1">
        <v>8</v>
      </c>
      <c r="K111" s="1">
        <v>24</v>
      </c>
      <c r="L111" s="1" t="s">
        <v>448</v>
      </c>
      <c r="N111" s="1">
        <v>0.3</v>
      </c>
      <c r="Q111" s="1">
        <v>30</v>
      </c>
      <c r="S111" s="1">
        <v>1</v>
      </c>
      <c r="T111" s="1">
        <v>2</v>
      </c>
      <c r="U111" s="1" t="s">
        <v>502</v>
      </c>
      <c r="W111" s="1" t="s">
        <v>88</v>
      </c>
      <c r="X111" s="1" t="s">
        <v>208</v>
      </c>
      <c r="Y111" s="1" t="s">
        <v>209</v>
      </c>
      <c r="AA111" s="8" t="s">
        <v>210</v>
      </c>
      <c r="AC111" s="8" t="s">
        <v>219</v>
      </c>
      <c r="AD111" s="8" t="s">
        <v>269</v>
      </c>
      <c r="AE111" s="8" t="s">
        <v>220</v>
      </c>
      <c r="AF111" s="8" t="s">
        <v>232</v>
      </c>
      <c r="AG111" s="8" t="s">
        <v>326</v>
      </c>
      <c r="AH111" s="8" t="s">
        <v>403</v>
      </c>
      <c r="AI111" s="10" t="s">
        <v>614</v>
      </c>
      <c r="AJ111" s="10" t="s">
        <v>616</v>
      </c>
    </row>
    <row r="112" spans="1:39" x14ac:dyDescent="0.2">
      <c r="AC112" s="8" t="s">
        <v>342</v>
      </c>
      <c r="AD112" s="8" t="s">
        <v>350</v>
      </c>
      <c r="AE112" s="8">
        <v>900</v>
      </c>
      <c r="AF112" s="8">
        <v>8</v>
      </c>
      <c r="AG112" s="8">
        <v>4</v>
      </c>
      <c r="AH112" s="8" t="s">
        <v>615</v>
      </c>
      <c r="AI112" s="10">
        <v>150</v>
      </c>
      <c r="AJ112" s="10">
        <v>1</v>
      </c>
    </row>
    <row r="113" spans="1:37" x14ac:dyDescent="0.2">
      <c r="A113" s="1" t="s">
        <v>622</v>
      </c>
      <c r="B113" s="1" t="s">
        <v>623</v>
      </c>
      <c r="C113" s="1" t="s">
        <v>205</v>
      </c>
      <c r="D113" s="1" t="str">
        <f t="shared" ref="D113" si="45">"abilities/heroes/"&amp;LEFT(A113,LEN(A113)-2)&amp;"/"&amp;A113</f>
        <v>abilities/heroes/oracle/oracle_0</v>
      </c>
      <c r="E113" s="1" t="str">
        <f t="shared" si="21"/>
        <v>oracle_0</v>
      </c>
      <c r="F113" s="1" t="s">
        <v>206</v>
      </c>
      <c r="I113" s="1">
        <v>1</v>
      </c>
      <c r="L113" s="1" t="s">
        <v>306</v>
      </c>
      <c r="M113" s="1">
        <v>1200</v>
      </c>
      <c r="N113" s="1">
        <v>0.15</v>
      </c>
      <c r="Q113" s="1">
        <v>30</v>
      </c>
      <c r="R113" s="1">
        <v>1</v>
      </c>
      <c r="S113" s="1">
        <v>1</v>
      </c>
      <c r="T113" s="1">
        <v>1</v>
      </c>
      <c r="U113" s="1">
        <v>50</v>
      </c>
      <c r="W113" s="1" t="s">
        <v>649</v>
      </c>
      <c r="X113" s="1" t="s">
        <v>597</v>
      </c>
      <c r="Y113" s="1" t="s">
        <v>209</v>
      </c>
      <c r="Z113" s="1" t="s">
        <v>524</v>
      </c>
      <c r="AB113" s="8" t="s">
        <v>412</v>
      </c>
      <c r="AC113" s="8" t="s">
        <v>630</v>
      </c>
      <c r="AD113" s="8" t="s">
        <v>631</v>
      </c>
      <c r="AE113" s="8" t="s">
        <v>628</v>
      </c>
      <c r="AF113" s="8" t="s">
        <v>629</v>
      </c>
      <c r="AG113" s="8" t="s">
        <v>232</v>
      </c>
    </row>
    <row r="114" spans="1:37" x14ac:dyDescent="0.2">
      <c r="AC114" s="8">
        <v>5</v>
      </c>
      <c r="AD114" s="8">
        <v>30</v>
      </c>
      <c r="AE114" s="8">
        <v>50</v>
      </c>
      <c r="AF114" s="8">
        <v>1</v>
      </c>
      <c r="AG114" s="8">
        <v>15</v>
      </c>
    </row>
    <row r="115" spans="1:37" x14ac:dyDescent="0.2">
      <c r="A115" s="1" t="s">
        <v>642</v>
      </c>
      <c r="B115" s="1" t="s">
        <v>624</v>
      </c>
      <c r="C115" s="1" t="s">
        <v>205</v>
      </c>
      <c r="D115" s="1" t="str">
        <f t="shared" ref="D115" si="46">"abilities/heroes/"&amp;LEFT(A115,LEN(A115)-2)&amp;"/"&amp;A115</f>
        <v>abilities/heroes/oracle/oracle_1</v>
      </c>
      <c r="E115" s="1" t="str">
        <f t="shared" si="21"/>
        <v>oracle_1</v>
      </c>
      <c r="F115" s="1" t="s">
        <v>206</v>
      </c>
      <c r="I115" s="1">
        <v>20</v>
      </c>
      <c r="J115" s="1">
        <v>1</v>
      </c>
      <c r="K115" s="1">
        <v>3</v>
      </c>
      <c r="L115" s="1" t="s">
        <v>306</v>
      </c>
      <c r="M115" s="1">
        <v>1200</v>
      </c>
      <c r="N115" s="1">
        <v>0.15</v>
      </c>
      <c r="Q115" s="1">
        <v>2.25</v>
      </c>
      <c r="S115" s="1">
        <v>1</v>
      </c>
      <c r="T115" s="1">
        <v>4</v>
      </c>
      <c r="U115" s="1" t="s">
        <v>307</v>
      </c>
      <c r="W115" s="1" t="s">
        <v>308</v>
      </c>
      <c r="X115" s="1" t="s">
        <v>208</v>
      </c>
      <c r="Y115" s="1" t="s">
        <v>209</v>
      </c>
      <c r="Z115" s="1" t="s">
        <v>647</v>
      </c>
      <c r="AA115" s="8" t="s">
        <v>210</v>
      </c>
      <c r="AC115" s="8" t="s">
        <v>219</v>
      </c>
      <c r="AD115" s="8" t="s">
        <v>269</v>
      </c>
      <c r="AE115" s="8" t="s">
        <v>632</v>
      </c>
      <c r="AF115" s="8" t="s">
        <v>320</v>
      </c>
      <c r="AG115" s="8" t="s">
        <v>220</v>
      </c>
      <c r="AH115" s="8" t="s">
        <v>232</v>
      </c>
      <c r="AI115" s="10" t="s">
        <v>633</v>
      </c>
      <c r="AJ115" s="8" t="s">
        <v>233</v>
      </c>
    </row>
    <row r="116" spans="1:37" x14ac:dyDescent="0.2">
      <c r="AC116" s="8" t="s">
        <v>417</v>
      </c>
      <c r="AD116" s="8" t="s">
        <v>347</v>
      </c>
      <c r="AE116" s="8" t="s">
        <v>352</v>
      </c>
      <c r="AF116" s="8">
        <v>0.25</v>
      </c>
      <c r="AG116" s="8">
        <v>300</v>
      </c>
      <c r="AH116" s="8">
        <v>9</v>
      </c>
      <c r="AI116" s="10">
        <v>30</v>
      </c>
      <c r="AJ116" s="8">
        <v>1</v>
      </c>
    </row>
    <row r="117" spans="1:37" x14ac:dyDescent="0.2">
      <c r="A117" s="1" t="s">
        <v>643</v>
      </c>
      <c r="B117" s="1" t="s">
        <v>625</v>
      </c>
      <c r="C117" s="1" t="s">
        <v>205</v>
      </c>
      <c r="D117" s="1" t="str">
        <f t="shared" ref="D117" si="47">"abilities/heroes/"&amp;LEFT(A117,LEN(A117)-2)&amp;"/"&amp;A117</f>
        <v>abilities/heroes/oracle/oracle_2</v>
      </c>
      <c r="E117" s="1" t="str">
        <f t="shared" si="21"/>
        <v>oracle_2</v>
      </c>
      <c r="F117" s="1" t="s">
        <v>206</v>
      </c>
      <c r="I117" s="1">
        <v>20</v>
      </c>
      <c r="J117" s="1">
        <v>1</v>
      </c>
      <c r="K117" s="1">
        <v>3</v>
      </c>
      <c r="L117" s="1" t="s">
        <v>226</v>
      </c>
      <c r="N117" s="1">
        <v>0.3</v>
      </c>
      <c r="Q117" s="1">
        <v>16</v>
      </c>
      <c r="R117" s="1">
        <v>1</v>
      </c>
      <c r="S117" s="1">
        <v>1</v>
      </c>
      <c r="T117" s="1">
        <v>2</v>
      </c>
      <c r="U117" s="1" t="s">
        <v>218</v>
      </c>
      <c r="W117" s="1" t="s">
        <v>88</v>
      </c>
      <c r="X117" s="1" t="s">
        <v>208</v>
      </c>
      <c r="Y117" s="1" t="s">
        <v>209</v>
      </c>
      <c r="AC117" s="8" t="s">
        <v>627</v>
      </c>
      <c r="AD117" s="8" t="s">
        <v>634</v>
      </c>
      <c r="AE117" s="8" t="s">
        <v>635</v>
      </c>
      <c r="AF117" s="8" t="s">
        <v>553</v>
      </c>
      <c r="AG117" s="8" t="s">
        <v>232</v>
      </c>
      <c r="AH117" s="8" t="s">
        <v>650</v>
      </c>
    </row>
    <row r="118" spans="1:37" x14ac:dyDescent="0.2">
      <c r="AC118" s="8" t="s">
        <v>348</v>
      </c>
      <c r="AD118" s="8" t="s">
        <v>354</v>
      </c>
      <c r="AE118" s="8" t="s">
        <v>423</v>
      </c>
      <c r="AF118" s="8" t="s">
        <v>636</v>
      </c>
      <c r="AG118" s="8">
        <v>9</v>
      </c>
      <c r="AH118" s="8">
        <v>15</v>
      </c>
    </row>
    <row r="119" spans="1:37" x14ac:dyDescent="0.2">
      <c r="A119" s="1" t="s">
        <v>644</v>
      </c>
      <c r="B119" s="1" t="s">
        <v>646</v>
      </c>
      <c r="C119" s="1" t="s">
        <v>205</v>
      </c>
      <c r="D119" s="1" t="str">
        <f t="shared" ref="D119" si="48">"abilities/heroes/"&amp;LEFT(A119,LEN(A119)-2)&amp;"/"&amp;A119</f>
        <v>abilities/heroes/oracle/oracle_3</v>
      </c>
      <c r="E119" s="1" t="str">
        <f t="shared" si="21"/>
        <v>oracle_3</v>
      </c>
      <c r="F119" s="1" t="s">
        <v>206</v>
      </c>
      <c r="I119" s="1">
        <v>20</v>
      </c>
      <c r="J119" s="1">
        <v>1</v>
      </c>
      <c r="K119" s="1">
        <v>3</v>
      </c>
      <c r="L119" s="1" t="s">
        <v>226</v>
      </c>
      <c r="M119" s="1">
        <v>1200</v>
      </c>
      <c r="N119" s="1">
        <v>0.3</v>
      </c>
      <c r="Q119" s="1">
        <v>28</v>
      </c>
      <c r="S119" s="1">
        <v>1</v>
      </c>
      <c r="T119" s="1">
        <v>3</v>
      </c>
      <c r="U119" s="1" t="s">
        <v>218</v>
      </c>
      <c r="W119" s="1" t="s">
        <v>5</v>
      </c>
      <c r="X119" s="1" t="s">
        <v>227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278</v>
      </c>
      <c r="AF119" s="8" t="s">
        <v>637</v>
      </c>
      <c r="AG119" s="8" t="s">
        <v>639</v>
      </c>
      <c r="AH119" s="8" t="s">
        <v>232</v>
      </c>
      <c r="AI119" s="10" t="s">
        <v>651</v>
      </c>
      <c r="AJ119" s="10" t="s">
        <v>652</v>
      </c>
    </row>
    <row r="120" spans="1:37" x14ac:dyDescent="0.2">
      <c r="AC120" s="8" t="s">
        <v>343</v>
      </c>
      <c r="AD120" s="8" t="s">
        <v>349</v>
      </c>
      <c r="AE120" s="8">
        <v>200</v>
      </c>
      <c r="AF120" s="8" t="s">
        <v>638</v>
      </c>
      <c r="AG120" s="8">
        <v>1</v>
      </c>
      <c r="AH120" s="8">
        <v>14</v>
      </c>
      <c r="AI120" s="10">
        <v>300</v>
      </c>
      <c r="AJ120" s="10">
        <v>1</v>
      </c>
    </row>
    <row r="121" spans="1:37" x14ac:dyDescent="0.2">
      <c r="A121" s="1" t="s">
        <v>645</v>
      </c>
      <c r="B121" s="1" t="s">
        <v>626</v>
      </c>
      <c r="C121" s="1" t="s">
        <v>205</v>
      </c>
      <c r="D121" s="1" t="str">
        <f t="shared" ref="D121:D131" si="49">"abilities/heroes/"&amp;LEFT(A121,LEN(A121)-2)&amp;"/"&amp;A121</f>
        <v>abilities/heroes/oracle/oracle_4</v>
      </c>
      <c r="E121" s="1" t="str">
        <f t="shared" ref="E121:E131" si="50">A121</f>
        <v>oracle_4</v>
      </c>
      <c r="F121" s="1" t="s">
        <v>245</v>
      </c>
      <c r="I121" s="1">
        <v>8</v>
      </c>
      <c r="J121" s="1">
        <v>8</v>
      </c>
      <c r="K121" s="1">
        <v>24</v>
      </c>
      <c r="L121" s="1" t="s">
        <v>410</v>
      </c>
      <c r="M121" s="1">
        <v>800</v>
      </c>
      <c r="N121" s="1">
        <v>0.3</v>
      </c>
      <c r="Q121" s="1">
        <v>60</v>
      </c>
      <c r="U121" s="1" t="s">
        <v>502</v>
      </c>
      <c r="W121" s="1" t="s">
        <v>308</v>
      </c>
      <c r="X121" s="1" t="s">
        <v>208</v>
      </c>
      <c r="Y121" s="1" t="s">
        <v>209</v>
      </c>
      <c r="Z121" s="1" t="s">
        <v>524</v>
      </c>
      <c r="AA121" s="8" t="s">
        <v>210</v>
      </c>
      <c r="AB121" s="8" t="s">
        <v>412</v>
      </c>
      <c r="AC121" s="8" t="s">
        <v>219</v>
      </c>
      <c r="AD121" s="8" t="s">
        <v>269</v>
      </c>
      <c r="AE121" s="8" t="s">
        <v>220</v>
      </c>
      <c r="AF121" s="8" t="s">
        <v>523</v>
      </c>
      <c r="AG121" s="8" t="s">
        <v>211</v>
      </c>
      <c r="AH121" s="8" t="s">
        <v>641</v>
      </c>
      <c r="AI121" s="10" t="s">
        <v>628</v>
      </c>
    </row>
    <row r="122" spans="1:37" x14ac:dyDescent="0.2">
      <c r="AC122" s="8" t="s">
        <v>342</v>
      </c>
      <c r="AD122" s="8" t="s">
        <v>640</v>
      </c>
      <c r="AE122" s="8">
        <v>600</v>
      </c>
      <c r="AF122" s="8">
        <v>0.5</v>
      </c>
      <c r="AG122" s="8">
        <v>2</v>
      </c>
      <c r="AH122" s="8">
        <v>6</v>
      </c>
      <c r="AI122" s="10">
        <v>200</v>
      </c>
    </row>
    <row r="123" spans="1:37" x14ac:dyDescent="0.2">
      <c r="A123" s="1" t="s">
        <v>654</v>
      </c>
      <c r="B123" s="1" t="s">
        <v>659</v>
      </c>
      <c r="C123" s="1" t="s">
        <v>205</v>
      </c>
      <c r="D123" s="1" t="str">
        <f t="shared" si="49"/>
        <v>abilities/heroes/void_spirit/void_spirit_0</v>
      </c>
      <c r="E123" s="1" t="str">
        <f t="shared" si="50"/>
        <v>void_spirit_0</v>
      </c>
      <c r="F123" s="1" t="s">
        <v>206</v>
      </c>
      <c r="I123" s="1">
        <v>1</v>
      </c>
      <c r="L123" s="1" t="s">
        <v>448</v>
      </c>
      <c r="M123" s="1">
        <v>1200</v>
      </c>
      <c r="Q123" s="1">
        <v>5</v>
      </c>
      <c r="U123" s="1">
        <v>20</v>
      </c>
      <c r="W123" s="1" t="s">
        <v>676</v>
      </c>
      <c r="X123" s="1" t="s">
        <v>208</v>
      </c>
      <c r="Y123" s="1" t="s">
        <v>209</v>
      </c>
      <c r="Z123" s="1" t="s">
        <v>524</v>
      </c>
      <c r="AA123" s="8" t="s">
        <v>210</v>
      </c>
      <c r="AC123" s="8" t="s">
        <v>232</v>
      </c>
      <c r="AD123" s="8" t="s">
        <v>454</v>
      </c>
    </row>
    <row r="124" spans="1:37" x14ac:dyDescent="0.2">
      <c r="AC124" s="8">
        <v>10</v>
      </c>
      <c r="AD124" s="8">
        <v>2</v>
      </c>
    </row>
    <row r="125" spans="1:37" x14ac:dyDescent="0.2">
      <c r="A125" s="1" t="s">
        <v>655</v>
      </c>
      <c r="B125" s="1" t="s">
        <v>660</v>
      </c>
      <c r="C125" s="1" t="s">
        <v>205</v>
      </c>
      <c r="D125" s="1" t="str">
        <f t="shared" si="49"/>
        <v>abilities/heroes/void_spirit/void_spirit_1</v>
      </c>
      <c r="E125" s="1" t="str">
        <f t="shared" si="50"/>
        <v>void_spirit_1</v>
      </c>
      <c r="F125" s="1" t="s">
        <v>206</v>
      </c>
      <c r="I125" s="1">
        <v>20</v>
      </c>
      <c r="J125" s="1">
        <v>1</v>
      </c>
      <c r="K125" s="1">
        <v>3</v>
      </c>
      <c r="L125" s="1" t="s">
        <v>410</v>
      </c>
      <c r="N125" s="1">
        <v>0</v>
      </c>
      <c r="Q125" s="1">
        <v>10</v>
      </c>
      <c r="U125" s="1" t="s">
        <v>307</v>
      </c>
      <c r="W125" s="1" t="s">
        <v>479</v>
      </c>
      <c r="X125" s="1" t="s">
        <v>208</v>
      </c>
      <c r="Y125" s="1" t="s">
        <v>209</v>
      </c>
      <c r="Z125" s="1" t="s">
        <v>524</v>
      </c>
      <c r="AA125" s="8" t="s">
        <v>210</v>
      </c>
      <c r="AC125" s="8" t="s">
        <v>219</v>
      </c>
      <c r="AD125" s="8" t="s">
        <v>269</v>
      </c>
      <c r="AE125" s="8" t="s">
        <v>664</v>
      </c>
      <c r="AF125" s="8" t="s">
        <v>633</v>
      </c>
      <c r="AG125" s="8" t="s">
        <v>665</v>
      </c>
      <c r="AH125" s="8" t="s">
        <v>220</v>
      </c>
      <c r="AI125" s="10" t="s">
        <v>232</v>
      </c>
      <c r="AJ125" s="10" t="s">
        <v>287</v>
      </c>
      <c r="AK125" s="10" t="s">
        <v>332</v>
      </c>
    </row>
    <row r="126" spans="1:37" x14ac:dyDescent="0.2">
      <c r="AC126" s="8" t="s">
        <v>384</v>
      </c>
      <c r="AD126" s="8" t="s">
        <v>347</v>
      </c>
      <c r="AE126" s="8" t="s">
        <v>384</v>
      </c>
      <c r="AF126" s="8">
        <v>20</v>
      </c>
      <c r="AG126" s="8" t="s">
        <v>347</v>
      </c>
      <c r="AH126" s="8">
        <v>500</v>
      </c>
      <c r="AI126" s="10">
        <v>10</v>
      </c>
      <c r="AJ126" s="10">
        <v>0.3</v>
      </c>
      <c r="AK126" s="10">
        <v>6</v>
      </c>
    </row>
    <row r="127" spans="1:37" x14ac:dyDescent="0.2">
      <c r="A127" s="1" t="s">
        <v>656</v>
      </c>
      <c r="B127" s="1" t="s">
        <v>661</v>
      </c>
      <c r="C127" s="1" t="s">
        <v>205</v>
      </c>
      <c r="D127" s="1" t="str">
        <f t="shared" si="49"/>
        <v>abilities/heroes/void_spirit/void_spirit_2</v>
      </c>
      <c r="E127" s="1" t="str">
        <f>A127</f>
        <v>void_spirit_2</v>
      </c>
      <c r="F127" s="1" t="s">
        <v>206</v>
      </c>
      <c r="I127" s="1">
        <v>20</v>
      </c>
      <c r="J127" s="1">
        <v>1</v>
      </c>
      <c r="K127" s="1">
        <v>3</v>
      </c>
      <c r="L127" s="1" t="s">
        <v>306</v>
      </c>
      <c r="M127" s="1">
        <v>1600</v>
      </c>
      <c r="N127" s="1">
        <v>0.2</v>
      </c>
      <c r="O127" s="1">
        <v>2</v>
      </c>
      <c r="P127" s="1">
        <v>12</v>
      </c>
      <c r="U127" s="1" t="s">
        <v>307</v>
      </c>
      <c r="W127" s="1" t="s">
        <v>308</v>
      </c>
      <c r="X127" s="1" t="s">
        <v>208</v>
      </c>
      <c r="Y127" s="1" t="s">
        <v>209</v>
      </c>
      <c r="Z127" s="1" t="s">
        <v>524</v>
      </c>
      <c r="AA127" s="8" t="s">
        <v>210</v>
      </c>
      <c r="AC127" s="8" t="s">
        <v>219</v>
      </c>
      <c r="AD127" s="8" t="s">
        <v>269</v>
      </c>
      <c r="AE127" s="8" t="s">
        <v>220</v>
      </c>
      <c r="AF127" s="8" t="s">
        <v>666</v>
      </c>
      <c r="AG127" s="8" t="s">
        <v>211</v>
      </c>
    </row>
    <row r="128" spans="1:37" x14ac:dyDescent="0.2">
      <c r="AC128" s="8" t="s">
        <v>384</v>
      </c>
      <c r="AD128" s="8" t="s">
        <v>347</v>
      </c>
      <c r="AE128" s="8">
        <v>275</v>
      </c>
      <c r="AF128" s="8">
        <v>1.3</v>
      </c>
      <c r="AG128" s="8">
        <v>2</v>
      </c>
    </row>
    <row r="129" spans="1:37" x14ac:dyDescent="0.2">
      <c r="A129" s="1" t="s">
        <v>657</v>
      </c>
      <c r="B129" s="1" t="s">
        <v>663</v>
      </c>
      <c r="C129" s="1" t="s">
        <v>205</v>
      </c>
      <c r="D129" s="1" t="str">
        <f t="shared" si="49"/>
        <v>abilities/heroes/void_spirit/void_spirit_3</v>
      </c>
      <c r="E129" s="1" t="str">
        <f>A129</f>
        <v>void_spirit_3</v>
      </c>
      <c r="F129" s="1" t="s">
        <v>206</v>
      </c>
      <c r="I129" s="1">
        <v>20</v>
      </c>
      <c r="J129" s="1">
        <v>1</v>
      </c>
      <c r="K129" s="1">
        <v>3</v>
      </c>
      <c r="L129" s="1" t="s">
        <v>226</v>
      </c>
      <c r="N129" s="1">
        <v>0.2</v>
      </c>
      <c r="O129" s="1">
        <v>2</v>
      </c>
      <c r="P129" s="1">
        <v>20</v>
      </c>
      <c r="U129" s="1" t="s">
        <v>307</v>
      </c>
      <c r="W129" s="1" t="s">
        <v>675</v>
      </c>
      <c r="X129" s="1" t="s">
        <v>208</v>
      </c>
      <c r="Y129" s="1" t="s">
        <v>209</v>
      </c>
      <c r="Z129" s="1" t="s">
        <v>524</v>
      </c>
      <c r="AA129" s="8" t="s">
        <v>210</v>
      </c>
      <c r="AC129" s="8" t="s">
        <v>220</v>
      </c>
      <c r="AD129" s="8" t="s">
        <v>671</v>
      </c>
      <c r="AE129" s="8" t="s">
        <v>672</v>
      </c>
      <c r="AF129" s="8" t="s">
        <v>673</v>
      </c>
      <c r="AG129" s="8" t="s">
        <v>674</v>
      </c>
      <c r="AH129" s="10" t="s">
        <v>677</v>
      </c>
      <c r="AI129" s="10" t="s">
        <v>628</v>
      </c>
      <c r="AJ129" s="10" t="s">
        <v>269</v>
      </c>
      <c r="AK129" s="10" t="s">
        <v>403</v>
      </c>
    </row>
    <row r="130" spans="1:37" x14ac:dyDescent="0.2">
      <c r="AC130" s="8">
        <v>175</v>
      </c>
      <c r="AD130" s="8">
        <v>200</v>
      </c>
      <c r="AE130" s="8">
        <v>1600</v>
      </c>
      <c r="AF130" s="8">
        <v>1.25</v>
      </c>
      <c r="AG130" s="8">
        <v>80</v>
      </c>
      <c r="AH130" s="10">
        <v>300</v>
      </c>
      <c r="AI130" s="10" t="s">
        <v>678</v>
      </c>
      <c r="AJ130" s="10" t="s">
        <v>347</v>
      </c>
      <c r="AK130" s="10">
        <v>10</v>
      </c>
    </row>
    <row r="131" spans="1:37" x14ac:dyDescent="0.2">
      <c r="A131" s="1" t="s">
        <v>658</v>
      </c>
      <c r="B131" s="1" t="s">
        <v>662</v>
      </c>
      <c r="C131" s="1" t="s">
        <v>205</v>
      </c>
      <c r="D131" s="1" t="str">
        <f t="shared" si="49"/>
        <v>abilities/heroes/void_spirit/void_spirit_4</v>
      </c>
      <c r="E131" s="1" t="str">
        <f t="shared" si="50"/>
        <v>void_spirit_4</v>
      </c>
      <c r="F131" s="1" t="s">
        <v>245</v>
      </c>
      <c r="I131" s="1">
        <v>8</v>
      </c>
      <c r="J131" s="1">
        <v>8</v>
      </c>
      <c r="K131" s="1">
        <v>24</v>
      </c>
      <c r="L131" s="1" t="s">
        <v>306</v>
      </c>
      <c r="N131" s="1">
        <v>0.2</v>
      </c>
      <c r="Q131" s="1">
        <v>40</v>
      </c>
      <c r="U131" s="1" t="s">
        <v>502</v>
      </c>
      <c r="W131" s="1" t="s">
        <v>88</v>
      </c>
      <c r="X131" s="1" t="s">
        <v>208</v>
      </c>
      <c r="Y131" s="1" t="s">
        <v>209</v>
      </c>
      <c r="Z131" s="1" t="s">
        <v>524</v>
      </c>
      <c r="AA131" s="8" t="s">
        <v>210</v>
      </c>
      <c r="AC131" s="8" t="s">
        <v>219</v>
      </c>
      <c r="AD131" s="8" t="s">
        <v>269</v>
      </c>
      <c r="AE131" s="8" t="s">
        <v>220</v>
      </c>
      <c r="AF131" s="8" t="s">
        <v>666</v>
      </c>
      <c r="AG131" s="8" t="s">
        <v>668</v>
      </c>
      <c r="AH131" s="8" t="s">
        <v>667</v>
      </c>
      <c r="AI131" s="10" t="s">
        <v>669</v>
      </c>
      <c r="AJ131" s="10" t="s">
        <v>670</v>
      </c>
      <c r="AK131" s="10" t="s">
        <v>211</v>
      </c>
    </row>
    <row r="132" spans="1:37" x14ac:dyDescent="0.2">
      <c r="AC132" s="8" t="s">
        <v>346</v>
      </c>
      <c r="AD132" s="8" t="s">
        <v>538</v>
      </c>
      <c r="AE132" s="8">
        <v>275</v>
      </c>
      <c r="AF132" s="8">
        <v>1.3</v>
      </c>
      <c r="AG132" s="8">
        <v>6</v>
      </c>
      <c r="AH132" s="8">
        <v>183</v>
      </c>
      <c r="AI132" s="10">
        <v>60</v>
      </c>
      <c r="AJ132" s="10">
        <v>520</v>
      </c>
      <c r="AK132" s="10">
        <v>6</v>
      </c>
    </row>
  </sheetData>
  <phoneticPr fontId="1" type="noConversion"/>
  <conditionalFormatting sqref="A3:XFD10000">
    <cfRule type="expression" dxfId="3" priority="2">
      <formula>MOD(ROW(A4),2)=0</formula>
    </cfRule>
    <cfRule type="expression" dxfId="2" priority="3">
      <formula>MOD(ROW(A4),4)&lt;2</formula>
    </cfRule>
    <cfRule type="expression" dxfId="1" priority="4">
      <formula>MOD(ROW(A6),4)&lt;2</formula>
    </cfRule>
  </conditionalFormatting>
  <conditionalFormatting sqref="A3:Z10000">
    <cfRule type="expression" dxfId="0" priority="1">
      <formula>AND(ISBLANK(A3)=FALSE,MOD(ROW(),2)=0)</formula>
    </cfRule>
  </conditionalFormatting>
  <dataValidations count="1">
    <dataValidation type="list" allowBlank="1" showInputMessage="1" showErrorMessage="1" sqref="C3:C1048576" xr:uid="{98F1244F-0E9E-4BEB-BDAD-D6040D33C143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F7D27A8-E20A-41E6-9EBB-DA0F1CD34C5B}">
          <x14:formula1>
            <xm:f>Sheet2!$F$1:$F$5</xm:f>
          </x14:formula1>
          <xm:sqref>F1:F1048576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2021-03-15T15:08:30Z</dcterms:modified>
</cp:coreProperties>
</file>