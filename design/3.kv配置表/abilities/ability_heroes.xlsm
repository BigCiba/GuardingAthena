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54E64854-F802-4CCF-B789-3E4A97FB5B74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3" i="1"/>
  <c r="D63" i="1"/>
  <c r="D65" i="1"/>
  <c r="D67" i="1"/>
  <c r="D69" i="1"/>
  <c r="D61" i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<sst xmlns="http://schemas.openxmlformats.org/spreadsheetml/2006/main" count="861" uniqueCount="494">
  <si>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</si>
  <si>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</si>
  <si>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</si>
  <si>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</si>
  <si>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</si>
  <si>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</si>
  <si>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</si>
  <si>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</si>
  <si>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</si>
  <si>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</si>
  <si>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</si>
  <si>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</si>
  <si>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</si>
  <si>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</si>
  <si>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</si>
  <si>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</si>
  <si>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</si>
  <si>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</si>
  <si>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</si>
  <si>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</si>
  <si>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</si>
  <si>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</si>
  <si>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</si>
  <si>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</si>
  <si>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</si>
  <si>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</si>
  <si>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</si>
  <si>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</si>
  <si>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</si>
  <si>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</si>
  <si>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</si>
  <si>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</si>
  <si>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</si>
  <si>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</si>
  <si>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</si>
  <si>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</si>
  <si>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</si>
  <si>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</si>
  <si>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</si>
  <si>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</si>
  <si>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</si>
  <si>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</si>
  <si>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</si>
  <si>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</si>
  <si>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</si>
  <si>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</si>
  <si>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</si>
  <si>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</si>
  <si>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</si>
  <si>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</si>
  <si>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</si>
  <si>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</si>
  <si>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</si>
  <si>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</si>
  <si>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</si>
  <si>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</si>
  <si>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</si>
  <si>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</si>
  <si>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</si>
  <si>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</si>
  <si>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</si>
  <si>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</si>
  <si>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</si>
  <si>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</si>
  <si>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</si>
  <si>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</si>
  <si>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</si>
  <si>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</si>
  <si>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</si>
  <si>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</si>
  <si>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</si>
  <si>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</si>
  <si>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</si>
  <si>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</si>
  <si>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</si>
  <si>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</si>
  <si>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</si>
  <si>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</si>
  <si>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</si>
  <si>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</si>
  <si>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</si>
  <si>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</si>
  <si>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</si>
  <si>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</si>
  <si>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</si>
  <si>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</si>
  <si>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</si>
  <si>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</si>
  <si>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</si>
  <si>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</si>
  <si>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</si>
  <si>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</si>
  <si>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</si>
  <si>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</si>
  <si>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</si>
  <si>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</si>
  <si>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</si>
  <si>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</si>
  <si>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</si>
  <si>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</si>
  <si>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</si>
  <si>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</si>
  <si>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</si>
  <si>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</si>
  <si>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</si>
  <si>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</si>
  <si>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</si>
  <si>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</si>
  <si>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</si>
  <si>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</si>
  <si>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</si>
  <si>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</si>
  <si>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</si>
  <si>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</si>
  <si>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</si>
  <si>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</si>
  <si>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</si>
  <si>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</si>
  <si>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</si>
  <si>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</si>
  <si>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</si>
  <si>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</si>
  <si>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</si>
  <si>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</si>
  <si>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</si>
  <si>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</si>
  <si>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</si>
  <si>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</si>
  <si>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</si>
  <si>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</si>
  <si>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</si>
  <si>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</si>
  <si>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</si>
  <si>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</si>
  <si>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</si>
  <si>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</si>
  <si>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</si>
  <si>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</si>
  <si>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</si>
  <si>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</si>
  <si>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</si>
  <si>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</si>
  <si>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</si>
  <si>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</si>
  <si>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</si>
  <si>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</si>
  <si>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</si>
  <si>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</si>
  <si>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</si>
  <si>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</si>
  <si>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</si>
  <si>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</si>
  <si>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</si>
  <si>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</si>
  <si>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</si>
  <si>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</si>
  <si>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</si>
  <si>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</si>
  <si>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</si>
  <si>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</si>
  <si>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</si>
  <si>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</si>
  <si>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</si>
  <si>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</si>
  <si>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</si>
  <si>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</si>
  <si>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</si>
  <si>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</si>
  <si>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</si>
  <si>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</si>
  <si>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</si>
  <si>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</si>
  <si>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</si>
  <si>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</si>
  <si>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</si>
  <si>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</si>
  <si>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</si>
  <si>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</si>
  <si>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</si>
  <si>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</si>
  <si>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</si>
  <si>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</si>
  <si>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</si>
  <si>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</si>
  <si>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</si>
  <si>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</si>
  <si>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</si>
  <si>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</si>
  <si>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</si>
  <si>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</si>
  <si>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</si>
  <si>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</si>
  <si>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</si>
  <si>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</si>
  <si>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</si>
  <si>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</si>
  <si>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</si>
  <si>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</si>
  <si>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</si>
  <si>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</si>
  <si>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</si>
  <si>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</si>
  <si>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</si>
  <si>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</si>
  <si>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</si>
  <si>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</si>
  <si>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</si>
  <si>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</si>
  <si>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</si>
  <si>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</si>
  <si>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</si>
  <si>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</si>
  <si>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</si>
  <si>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</si>
  <si>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</si>
  <si>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</si>
  <si>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</si>
  <si>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</si>
  <si>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</si>
  <si>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</si>
  <si>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</si>
  <si>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</si>
  <si>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</si>
  <si>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</si>
  <si>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</si>
  <si>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</si>
  <si>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</si>
  <si>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</si>
  <si>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</si>
  <si>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</si>
  <si>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</si>
  <si>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</si>
  <si>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</si>
  <si>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</si>
  <si>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</si>
  <si>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</si>
  <si>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</si>
  <si>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</si>
  <si>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</si>
  <si>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</si>
  <si>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</si>
  <si>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</si>
  <si>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</si>
  <si>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</si>
  <si>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</si>
  <si>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</si>
  <si>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</si>
  <si>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</si>
  <si>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</si>
  <si>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</si>
  <si>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</si>
  <si>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</si>
  <si>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</si>
  <si>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</si>
  <si>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</si>
  <si>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</si>
  <si>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</si>
  <si>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</si>
  <si>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</si>
  <si>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</si>
  <si>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</si>
  <si>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</si>
  <si>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</si>
  <si>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</si>
  <si>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</si>
  <si>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</si>
  <si>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</si>
  <si>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</si>
  <si>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</si>
  <si>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</si>
  <si>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</si>
  <si>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</si>
  <si>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</si>
  <si>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</si>
  <si>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</si>
  <si>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</si>
  <si>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</si>
  <si>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</si>
  <si>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</si>
  <si>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</si>
  <si>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</si>
  <si>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</si>
  <si>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</si>
  <si>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</si>
  <si>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</si>
  <si>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</si>
  <si>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</si>
  <si>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</si>
  <si>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</si>
  <si>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</si>
  <si>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</si>
  <si>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</si>
  <si>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</si>
  <si>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</si>
  <si>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</si>
  <si>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</si>
  <si>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</si>
  <si>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</si>
  <si>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</si>
  <si>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</si>
  <si>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</si>
  <si>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</si>
  <si>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</si>
  <si>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</si>
  <si>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</si>
  <si>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</si>
  <si>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</si>
  <si>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</si>
  <si>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</si>
  <si>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</si>
  <si>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</si>
  <si>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</si>
  <si>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</si>
  <si>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</si>
  <si>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</si>
  <si>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</si>
  <si>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</si>
  <si>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</si>
  <si>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</si>
  <si>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</si>
  <si>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</si>
  <si>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</si>
  <si>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</si>
  <si>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</si>
  <si>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</si>
  <si>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</si>
  <si>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</si>
  <si>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</si>
  <si>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</si>
  <si>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</si>
  <si>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</si>
  <si>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</si>
  <si>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</si>
  <si>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</si>
  <si>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</si>
  <si>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</si>
  <si>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</si>
  <si>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</si>
  <si>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</si>
  <si>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</si>
  <si>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</si>
  <si>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</si>
  <si>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</si>
  <si>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</si>
  <si>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</si>
  <si>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</si>
  <si>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</si>
  <si>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</si>
  <si>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</si>
  <si>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</si>
  <si>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</si>
  <si>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</si>
  <si>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</si>
  <si>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</si>
  <si>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</si>
  <si>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</si>
  <si>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</si>
  <si>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</si>
  <si>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</si>
  <si>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</si>
  <si>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</si>
  <si>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</si>
  <si>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</si>
  <si>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</si>
  <si>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</si>
  <si>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</si>
  <si>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</si>
  <si>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</si>
  <si>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</si>
  <si>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</si>
  <si>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</si>
  <si>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</si>
  <si>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</si>
  <si>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</si>
  <si>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</si>
  <si>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</si>
  <si>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</si>
  <si>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</si>
  <si>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</si>
  <si>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</si>
  <si>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</si>
  <si>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</si>
  <si>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</si>
  <si>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</si>
  <si>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</si>
  <si>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</si>
  <si>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</si>
  <si>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</si>
  <si>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</si>
  <si>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</si>
  <si>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</si>
  <si>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</si>
  <si>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</si>
  <si>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</si>
  <si>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</si>
  <si>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</si>
  <si>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</si>
  <si>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</si>
  <si>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</si>
  <si>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</si>
  <si>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</si>
  <si>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</si>
  <si>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</si>
  <si>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</si>
  <si>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</si>
  <si>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</si>
  <si>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</si>
  <si>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</si>
  <si>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</si>
  <si>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</si>
  <si>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</si>
  <si>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</si>
  <si>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</si>
  <si>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</si>
  <si>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</si>
  <si>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</si>
  <si>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</si>
  <si>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</si>
  <si>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</si>
  <si>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</si>
  <si>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</si>
  <si>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</si>
  <si>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</si>
  <si>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</si>
  <si>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</si>
  <si>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</si>
  <si>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</si>
  <si>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</si>
  <si>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</si>
  <si>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</si>
  <si>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</si>
  <si>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</si>
  <si>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</si>
  <si>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</si>
  <si>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</si>
  <si>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</si>
  <si>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</si>
  <si>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</si>
  <si>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</si>
  <si>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</si>
  <si>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</si>
  <si>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</si>
  <si>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</si>
  <si>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</si>
  <si>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</si>
  <si>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</si>
  <si>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</si>
  <si>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</si>
  <si>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</si>
  <si>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</si>
  <si>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</si>
  <si>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</si>
  <si>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</si>
  <si>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</si>
  <si>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</si>
  <si>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</si>
  <si>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</si>
  <si>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</si>
  <si>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</si>
  <si>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</si>
  <si>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</si>
  <si>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</si>
  <si>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</si>
  <si>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</si>
  <si>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</si>
  <si>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</si>
  <si>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</si>
  <si>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</si>
  <si>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</si>
  <si>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</si>
  <si>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</si>
  <si>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</si>
  <si>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</si>
  <si>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</si>
  <si>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</si>
  <si>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</si>
  <si>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</si>
  <si>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</si>
  <si>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</si>
  <si>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</si>
  <si>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</si>
  <si>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DOTA_ABILITY_BEHAVIOR_UNIT_TARGET | DOTA_ABILITY_BEHAVIOR_POINT | DOTA_ABILITY_BEHAVIOR_IGNORE_BACKSWING | DOTA_ABILITY_BEHAVIOR_NOT_LEARNABLE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</si>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</sst>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3.9" x14ac:dyDescent="0.4"/>
  <cols>
    <col min="1" max="1" width="17.1328125" style="1" bestFit="1" customWidth="1"/>
    <col min="2" max="2" width="10.46484375" style="1" customWidth="1"/>
    <col min="3" max="3" width="9.265625" style="1" bestFit="1" customWidth="1"/>
    <col min="4" max="4" width="46.59765625" style="1" bestFit="1" customWidth="1"/>
    <col min="5" max="5" width="25.3984375" style="1" bestFit="1" customWidth="1"/>
    <col min="6" max="6" width="28.265625" style="1" bestFit="1" customWidth="1"/>
    <col min="7" max="7" width="8.73046875" style="1" bestFit="1" customWidth="1"/>
    <col min="8" max="8" width="13" style="1" bestFit="1" customWidth="1"/>
    <col min="9" max="9" width="21.86328125" style="1" bestFit="1" customWidth="1"/>
    <col min="10" max="10" width="25.1328125" style="1" bestFit="1" customWidth="1"/>
    <col min="11" max="11" width="15.3984375" style="1" bestFit="1" customWidth="1"/>
    <col min="12" max="12" width="14.265625" style="1" bestFit="1" customWidth="1"/>
    <col min="13" max="13" width="13.265625" style="1" bestFit="1" customWidth="1"/>
    <col min="14" max="14" width="23.265625" style="1" bestFit="1" customWidth="1"/>
    <col min="15" max="15" width="14.86328125" style="1" bestFit="1" customWidth="1"/>
    <col min="16" max="16" width="14.86328125" style="1" customWidth="1"/>
    <col min="17" max="17" width="18.265625" style="1" bestFit="1" customWidth="1"/>
    <col min="18" max="18" width="18.265625" style="1" customWidth="1"/>
    <col min="19" max="19" width="74.73046875" style="1" bestFit="1" customWidth="1"/>
    <col min="20" max="20" width="17.3984375" style="1" bestFit="1" customWidth="1"/>
    <col min="21" max="21" width="146.59765625" style="1" bestFit="1" customWidth="1"/>
    <col min="22" max="22" width="34.46484375" style="1" bestFit="1" customWidth="1"/>
    <col min="23" max="23" width="51.1328125" style="1" bestFit="1" customWidth="1"/>
    <col min="24" max="24" width="19.59765625" style="1" bestFit="1" customWidth="1"/>
    <col min="25" max="25" width="23.265625" style="1" bestFit="1" customWidth="1"/>
    <col min="26" max="26" width="17.265625" style="1" bestFit="1" customWidth="1"/>
    <col min="27" max="27" width="18.3984375" style="8" bestFit="1" customWidth="1"/>
    <col min="28" max="28" width="19.86328125" style="8" bestFit="1" customWidth="1"/>
    <col min="29" max="29" width="17.73046875" style="8" bestFit="1" customWidth="1"/>
    <col min="30" max="30" width="15.59765625" style="8" bestFit="1" customWidth="1"/>
    <col min="31" max="31" width="19.3984375" style="8" bestFit="1" customWidth="1"/>
    <col min="32" max="33" width="25.59765625" style="8" bestFit="1" customWidth="1"/>
    <col min="34" max="34" width="21.46484375" style="8" bestFit="1" customWidth="1"/>
    <col min="35" max="35" width="29.86328125" style="10" bestFit="1" customWidth="1"/>
    <col min="36" max="36" width="21.46484375" style="10" bestFit="1" customWidth="1"/>
    <col min="37" max="37" width="16.59765625" style="10" bestFit="1" customWidth="1"/>
    <col min="38" max="38" width="16.265625" style="10" bestFit="1" customWidth="1"/>
    <col min="39" max="39" width="13.3984375" style="10" bestFit="1" customWidth="1"/>
    <col min="40" max="40" width="12.3984375" style="10" bestFit="1" customWidth="1"/>
    <col min="41" max="41" width="15.3984375" style="10" customWidth="1"/>
    <col min="42" max="16384" width="9" style="1"/>
  </cols>
  <sheetData>
    <row r="1" spans="1:42" s="4" customFormat="1" x14ac:dyDescent="0.4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483</v>
      </c>
      <c r="Q1" s="4" t="s">
        <v>179</v>
      </c>
      <c r="R1" s="4" t="s">
        <v>484</v>
      </c>
      <c r="S1" s="4" t="s">
        <v>180</v>
      </c>
      <c r="T1" s="4" t="s">
        <v>181</v>
      </c>
      <c r="U1" s="4" t="s">
        <v>4</v>
      </c>
      <c r="V1" s="4" t="s">
        <v>182</v>
      </c>
      <c r="W1" s="4" t="s">
        <v>183</v>
      </c>
      <c r="X1" s="4" t="s">
        <v>184</v>
      </c>
      <c r="Y1" s="4" t="s">
        <v>185</v>
      </c>
      <c r="Z1" s="4" t="s">
        <v>186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  <c r="AN1" s="7" t="s">
        <v>187</v>
      </c>
      <c r="AO1" s="7" t="s">
        <v>187</v>
      </c>
    </row>
    <row r="2" spans="1:42" s="4" customFormat="1" x14ac:dyDescent="0.4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482</v>
      </c>
      <c r="Q2" s="4" t="s">
        <v>201</v>
      </c>
      <c r="R2" s="4" t="s">
        <v>485</v>
      </c>
      <c r="S2" s="4" t="s">
        <v>202</v>
      </c>
      <c r="T2" s="4" t="s">
        <v>203</v>
      </c>
      <c r="U2" s="4" t="s">
        <v>1</v>
      </c>
      <c r="V2" s="4" t="s">
        <v>204</v>
      </c>
      <c r="W2" s="4" t="s">
        <v>205</v>
      </c>
      <c r="X2" s="4" t="s">
        <v>206</v>
      </c>
      <c r="Y2" s="4" t="s">
        <v>207</v>
      </c>
      <c r="Z2" s="4" t="s">
        <v>208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  <c r="AN2" s="7" t="s">
        <v>209</v>
      </c>
      <c r="AO2" s="7" t="s">
        <v>209</v>
      </c>
      <c r="AP2" s="4" t="s">
        <v>465</v>
      </c>
    </row>
    <row r="3" spans="1:42" x14ac:dyDescent="0.4">
      <c r="A3" s="1" t="s">
        <v>210</v>
      </c>
      <c r="B3" s="1" t="s">
        <v>211</v>
      </c>
      <c r="C3" s="1" t="s">
        <v>212</v>
      </c>
      <c r="D3" s="5" t="str">
        <f>"abilities/heroes/"&amp;LEFT(A3,LEN(A3)-2)&amp;"/"&amp;A3</f>
        <v>abilities/heroes/omniknight/omniknight_0</v>
      </c>
      <c r="E3" s="1" t="s">
        <v>213</v>
      </c>
      <c r="F3" s="1" t="s">
        <v>214</v>
      </c>
      <c r="G3" s="1">
        <v>1</v>
      </c>
      <c r="O3" s="1">
        <v>2</v>
      </c>
      <c r="Q3" s="1">
        <v>1</v>
      </c>
      <c r="R3" s="1">
        <v>2</v>
      </c>
      <c r="U3" s="1" t="s">
        <v>215</v>
      </c>
      <c r="V3" s="1" t="s">
        <v>216</v>
      </c>
      <c r="W3" s="1" t="s">
        <v>217</v>
      </c>
      <c r="Y3" s="1" t="s">
        <v>218</v>
      </c>
      <c r="AA3" s="8" t="s">
        <v>219</v>
      </c>
      <c r="AB3" s="8" t="s">
        <v>220</v>
      </c>
      <c r="AC3" s="8" t="s">
        <v>221</v>
      </c>
      <c r="AD3" s="9" t="s">
        <v>222</v>
      </c>
      <c r="AE3" s="9"/>
    </row>
    <row r="4" spans="1:42" x14ac:dyDescent="0.4">
      <c r="AA4" s="8">
        <v>4</v>
      </c>
      <c r="AB4" s="8">
        <v>10</v>
      </c>
      <c r="AC4" s="8">
        <v>10</v>
      </c>
      <c r="AD4" s="11">
        <v>300</v>
      </c>
      <c r="AE4" s="11"/>
    </row>
    <row r="5" spans="1:42" s="2" customFormat="1" x14ac:dyDescent="0.4">
      <c r="A5" s="1" t="s">
        <v>223</v>
      </c>
      <c r="B5" s="2" t="s">
        <v>224</v>
      </c>
      <c r="C5" s="2" t="s">
        <v>212</v>
      </c>
      <c r="D5" s="14" t="str">
        <f t="shared" ref="D5" si="0">"abilities/heroes/"&amp;LEFT(A5,LEN(A5)-2)&amp;"/"&amp;A5</f>
        <v>abilities/heroes/omniknight/omniknight_1</v>
      </c>
      <c r="E5" s="2" t="s">
        <v>225</v>
      </c>
      <c r="F5" s="2" t="s">
        <v>214</v>
      </c>
      <c r="G5" s="2">
        <v>20</v>
      </c>
      <c r="H5" s="2">
        <v>1</v>
      </c>
      <c r="I5" s="2">
        <v>3</v>
      </c>
      <c r="J5" s="2" t="s">
        <v>226</v>
      </c>
      <c r="L5" s="2">
        <v>0.3</v>
      </c>
      <c r="O5" s="2">
        <v>0</v>
      </c>
      <c r="Q5" s="2">
        <v>1</v>
      </c>
      <c r="R5" s="2">
        <v>1</v>
      </c>
      <c r="S5" s="2" t="s">
        <v>227</v>
      </c>
      <c r="U5" s="2" t="s">
        <v>88</v>
      </c>
      <c r="V5" s="2" t="s">
        <v>216</v>
      </c>
      <c r="W5" s="1" t="s">
        <v>217</v>
      </c>
      <c r="Y5" s="1" t="s">
        <v>218</v>
      </c>
      <c r="AA5" s="12" t="s">
        <v>228</v>
      </c>
      <c r="AB5" s="12" t="s">
        <v>221</v>
      </c>
      <c r="AC5" s="12" t="s">
        <v>229</v>
      </c>
      <c r="AD5" s="12" t="s">
        <v>219</v>
      </c>
      <c r="AE5" s="12" t="s">
        <v>230</v>
      </c>
      <c r="AF5" s="12" t="s">
        <v>231</v>
      </c>
      <c r="AG5" s="12" t="s">
        <v>232</v>
      </c>
      <c r="AH5" s="12"/>
      <c r="AI5" s="13"/>
      <c r="AJ5" s="13"/>
      <c r="AK5" s="13"/>
      <c r="AL5" s="13"/>
      <c r="AM5" s="13"/>
      <c r="AN5" s="13"/>
      <c r="AO5" s="13"/>
    </row>
    <row r="6" spans="1:42" s="2" customFormat="1" x14ac:dyDescent="0.4">
      <c r="D6" s="1"/>
      <c r="AA6" s="12" t="s">
        <v>362</v>
      </c>
      <c r="AB6" s="12" t="s">
        <v>366</v>
      </c>
      <c r="AC6" s="12">
        <v>400</v>
      </c>
      <c r="AD6" s="12">
        <v>2</v>
      </c>
      <c r="AE6" s="12">
        <v>3</v>
      </c>
      <c r="AF6" s="12">
        <v>8</v>
      </c>
      <c r="AG6" s="12">
        <v>4</v>
      </c>
      <c r="AH6" s="12"/>
      <c r="AI6" s="13"/>
      <c r="AJ6" s="13"/>
      <c r="AK6" s="13"/>
      <c r="AL6" s="13"/>
      <c r="AM6" s="13"/>
      <c r="AN6" s="13"/>
      <c r="AO6" s="13"/>
    </row>
    <row r="7" spans="1:42" x14ac:dyDescent="0.4">
      <c r="A7" s="1" t="s">
        <v>233</v>
      </c>
      <c r="B7" s="1" t="s">
        <v>234</v>
      </c>
      <c r="C7" s="1" t="s">
        <v>212</v>
      </c>
      <c r="D7" s="5" t="str">
        <f t="shared" ref="D7" si="1">"abilities/heroes/"&amp;LEFT(A7,LEN(A7)-2)&amp;"/"&amp;A7</f>
        <v>abilities/heroes/omniknight/omniknight_2</v>
      </c>
      <c r="E7" s="1" t="s">
        <v>235</v>
      </c>
      <c r="F7" s="1" t="s">
        <v>214</v>
      </c>
      <c r="G7" s="1">
        <v>20</v>
      </c>
      <c r="H7" s="1">
        <v>1</v>
      </c>
      <c r="I7" s="1">
        <v>3</v>
      </c>
      <c r="J7" s="1" t="s">
        <v>236</v>
      </c>
      <c r="K7" s="1">
        <v>600</v>
      </c>
      <c r="L7" s="1">
        <v>0.3</v>
      </c>
      <c r="O7" s="1">
        <v>60</v>
      </c>
      <c r="Q7" s="1">
        <v>1</v>
      </c>
      <c r="R7" s="1">
        <v>3</v>
      </c>
      <c r="U7" s="1" t="s">
        <v>89</v>
      </c>
      <c r="V7" s="2" t="s">
        <v>237</v>
      </c>
      <c r="W7" s="1" t="s">
        <v>217</v>
      </c>
      <c r="Z7" s="2"/>
      <c r="AA7" s="8" t="s">
        <v>229</v>
      </c>
      <c r="AB7" s="8" t="s">
        <v>243</v>
      </c>
      <c r="AC7" s="8" t="s">
        <v>244</v>
      </c>
      <c r="AD7" s="8" t="s">
        <v>245</v>
      </c>
      <c r="AE7" s="8" t="s">
        <v>238</v>
      </c>
      <c r="AF7" s="8" t="s">
        <v>239</v>
      </c>
      <c r="AG7" s="8" t="s">
        <v>240</v>
      </c>
      <c r="AH7" s="8" t="s">
        <v>241</v>
      </c>
      <c r="AI7" s="10" t="s">
        <v>220</v>
      </c>
      <c r="AJ7" s="10" t="s">
        <v>242</v>
      </c>
    </row>
    <row r="8" spans="1:42" x14ac:dyDescent="0.4">
      <c r="AA8" s="8">
        <v>600</v>
      </c>
      <c r="AB8" s="8">
        <v>1</v>
      </c>
      <c r="AC8" s="8">
        <v>3</v>
      </c>
      <c r="AD8" s="8">
        <v>10</v>
      </c>
      <c r="AE8" s="8">
        <v>3</v>
      </c>
      <c r="AF8" s="8" t="s">
        <v>367</v>
      </c>
      <c r="AG8" s="8" t="s">
        <v>370</v>
      </c>
      <c r="AH8" s="8" t="s">
        <v>371</v>
      </c>
      <c r="AI8" s="10" t="s">
        <v>372</v>
      </c>
      <c r="AJ8" s="10">
        <v>40</v>
      </c>
    </row>
    <row r="9" spans="1:42" s="2" customFormat="1" x14ac:dyDescent="0.4">
      <c r="A9" s="1" t="s">
        <v>246</v>
      </c>
      <c r="B9" s="2" t="s">
        <v>247</v>
      </c>
      <c r="C9" s="2" t="s">
        <v>212</v>
      </c>
      <c r="D9" s="14" t="str">
        <f t="shared" ref="D9" si="2">"abilities/heroes/"&amp;LEFT(A9,LEN(A9)-2)&amp;"/"&amp;A9</f>
        <v>abilities/heroes/omniknight/omniknight_3</v>
      </c>
      <c r="E9" s="2" t="s">
        <v>248</v>
      </c>
      <c r="F9" s="2" t="s">
        <v>214</v>
      </c>
      <c r="G9" s="2">
        <v>20</v>
      </c>
      <c r="H9" s="2">
        <v>1</v>
      </c>
      <c r="I9" s="2">
        <v>3</v>
      </c>
      <c r="U9" s="1" t="s">
        <v>0</v>
      </c>
      <c r="W9" s="1"/>
      <c r="Y9" s="2" t="s">
        <v>218</v>
      </c>
      <c r="AA9" s="12" t="s">
        <v>249</v>
      </c>
      <c r="AB9" s="12" t="s">
        <v>250</v>
      </c>
      <c r="AC9" s="12" t="s">
        <v>398</v>
      </c>
      <c r="AD9" s="12" t="s">
        <v>251</v>
      </c>
      <c r="AE9" s="12" t="s">
        <v>252</v>
      </c>
      <c r="AF9" s="12" t="s">
        <v>253</v>
      </c>
      <c r="AG9" s="12"/>
      <c r="AH9" s="12"/>
      <c r="AI9" s="13"/>
      <c r="AJ9" s="13"/>
      <c r="AK9" s="13"/>
      <c r="AL9" s="13"/>
      <c r="AM9" s="13"/>
      <c r="AN9" s="13"/>
      <c r="AO9" s="13"/>
    </row>
    <row r="10" spans="1:42" s="2" customFormat="1" x14ac:dyDescent="0.4">
      <c r="D10" s="1"/>
      <c r="AA10" s="12" t="s">
        <v>397</v>
      </c>
      <c r="AB10" s="12" t="s">
        <v>358</v>
      </c>
      <c r="AC10" s="12" t="s">
        <v>373</v>
      </c>
      <c r="AD10" s="12">
        <v>1</v>
      </c>
      <c r="AE10" s="12">
        <v>1</v>
      </c>
      <c r="AF10" s="12" t="s">
        <v>396</v>
      </c>
      <c r="AG10" s="12"/>
      <c r="AH10" s="12"/>
      <c r="AI10" s="13"/>
      <c r="AJ10" s="13"/>
      <c r="AK10" s="13"/>
      <c r="AL10" s="13"/>
      <c r="AM10" s="13"/>
      <c r="AN10" s="13"/>
      <c r="AO10" s="13"/>
    </row>
    <row r="11" spans="1:42" x14ac:dyDescent="0.4">
      <c r="A11" s="1" t="s">
        <v>254</v>
      </c>
      <c r="B11" s="3" t="s">
        <v>255</v>
      </c>
      <c r="C11" s="1" t="s">
        <v>212</v>
      </c>
      <c r="D11" s="5" t="str">
        <f t="shared" ref="D11" si="3">"abilities/heroes/"&amp;LEFT(A11,LEN(A11)-2)&amp;"/"&amp;A11</f>
        <v>abilities/heroes/omniknight/omniknight_4</v>
      </c>
      <c r="E11" s="1" t="s">
        <v>256</v>
      </c>
      <c r="F11" s="1" t="s">
        <v>257</v>
      </c>
      <c r="G11" s="1">
        <v>8</v>
      </c>
      <c r="H11" s="1">
        <v>8</v>
      </c>
      <c r="I11" s="1">
        <v>24</v>
      </c>
      <c r="L11" s="1">
        <v>0</v>
      </c>
      <c r="Q11" s="1">
        <v>1</v>
      </c>
      <c r="R11" s="1">
        <v>4</v>
      </c>
      <c r="S11" s="1" t="s">
        <v>357</v>
      </c>
      <c r="U11" s="1" t="s">
        <v>258</v>
      </c>
      <c r="V11" s="1" t="s">
        <v>216</v>
      </c>
      <c r="W11" s="1" t="s">
        <v>217</v>
      </c>
      <c r="Y11" s="1" t="s">
        <v>218</v>
      </c>
      <c r="AA11" s="8" t="s">
        <v>264</v>
      </c>
      <c r="AB11" s="8" t="s">
        <v>265</v>
      </c>
      <c r="AC11" s="8" t="s">
        <v>266</v>
      </c>
      <c r="AD11" s="8" t="s">
        <v>267</v>
      </c>
      <c r="AE11" s="8" t="s">
        <v>268</v>
      </c>
      <c r="AF11" s="8" t="s">
        <v>269</v>
      </c>
      <c r="AG11" s="8" t="s">
        <v>270</v>
      </c>
      <c r="AH11" s="8" t="s">
        <v>271</v>
      </c>
      <c r="AI11" s="10" t="s">
        <v>245</v>
      </c>
      <c r="AJ11" s="10" t="s">
        <v>259</v>
      </c>
      <c r="AK11" s="10" t="s">
        <v>260</v>
      </c>
      <c r="AL11" s="10" t="s">
        <v>261</v>
      </c>
      <c r="AM11" s="10" t="s">
        <v>262</v>
      </c>
      <c r="AN11" s="10" t="s">
        <v>263</v>
      </c>
      <c r="AO11" s="10" t="s">
        <v>249</v>
      </c>
    </row>
    <row r="12" spans="1:42" x14ac:dyDescent="0.4">
      <c r="B12" s="3"/>
      <c r="AA12" s="8" t="s">
        <v>273</v>
      </c>
      <c r="AB12" s="8" t="s">
        <v>274</v>
      </c>
      <c r="AC12" s="8" t="s">
        <v>275</v>
      </c>
      <c r="AD12" s="8" t="s">
        <v>276</v>
      </c>
      <c r="AE12" s="8">
        <v>-1440</v>
      </c>
      <c r="AF12" s="8">
        <v>-1800</v>
      </c>
      <c r="AG12" s="8">
        <v>0.5</v>
      </c>
      <c r="AH12" s="8">
        <v>1</v>
      </c>
      <c r="AI12" s="10">
        <v>10</v>
      </c>
      <c r="AJ12" s="10">
        <v>600</v>
      </c>
      <c r="AK12" s="10" t="s">
        <v>276</v>
      </c>
      <c r="AL12" s="10">
        <v>4</v>
      </c>
      <c r="AM12" s="10">
        <v>30</v>
      </c>
      <c r="AN12" s="10">
        <v>0.3</v>
      </c>
      <c r="AO12" s="10" t="s">
        <v>272</v>
      </c>
    </row>
    <row r="13" spans="1:42" s="2" customFormat="1" x14ac:dyDescent="0.4">
      <c r="A13" s="2" t="s">
        <v>277</v>
      </c>
      <c r="B13" s="2" t="s">
        <v>278</v>
      </c>
      <c r="C13" s="2" t="s">
        <v>212</v>
      </c>
      <c r="D13" s="14" t="str">
        <f t="shared" ref="D13" si="4">"abilities/heroes/"&amp;LEFT(A13,LEN(A13)-2)&amp;"/"&amp;A13</f>
        <v>abilities/heroes/templar_assassin/templar_assassin_0</v>
      </c>
      <c r="E13" s="2" t="s">
        <v>279</v>
      </c>
      <c r="F13" s="2" t="s">
        <v>214</v>
      </c>
      <c r="G13" s="2">
        <v>1</v>
      </c>
      <c r="M13" s="2">
        <v>3</v>
      </c>
      <c r="N13" s="2">
        <v>6</v>
      </c>
      <c r="O13" s="2">
        <v>0</v>
      </c>
      <c r="Q13" s="2">
        <v>1</v>
      </c>
      <c r="U13" s="2" t="s">
        <v>280</v>
      </c>
      <c r="AA13" s="12" t="s">
        <v>231</v>
      </c>
      <c r="AB13" s="12" t="s">
        <v>230</v>
      </c>
      <c r="AC13" s="12" t="s">
        <v>281</v>
      </c>
      <c r="AD13" s="12" t="s">
        <v>245</v>
      </c>
      <c r="AE13" s="12" t="s">
        <v>222</v>
      </c>
      <c r="AF13" s="12"/>
      <c r="AG13" s="12"/>
      <c r="AH13" s="12"/>
      <c r="AI13" s="13"/>
      <c r="AJ13" s="13"/>
      <c r="AK13" s="13"/>
      <c r="AL13" s="13"/>
      <c r="AM13" s="13"/>
      <c r="AN13" s="13"/>
      <c r="AO13" s="13"/>
    </row>
    <row r="14" spans="1:42" s="2" customFormat="1" x14ac:dyDescent="0.4">
      <c r="D14" s="1"/>
      <c r="AA14" s="12">
        <v>6</v>
      </c>
      <c r="AB14" s="12">
        <v>3</v>
      </c>
      <c r="AC14" s="12">
        <v>3</v>
      </c>
      <c r="AD14" s="12">
        <v>10</v>
      </c>
      <c r="AE14" s="12">
        <v>300</v>
      </c>
      <c r="AF14" s="12"/>
      <c r="AG14" s="12"/>
      <c r="AH14" s="12"/>
      <c r="AI14" s="13"/>
      <c r="AJ14" s="13"/>
      <c r="AK14" s="13"/>
      <c r="AL14" s="13"/>
      <c r="AM14" s="13"/>
      <c r="AN14" s="13"/>
      <c r="AO14" s="13"/>
    </row>
    <row r="15" spans="1:42" x14ac:dyDescent="0.4">
      <c r="A15" s="1" t="s">
        <v>282</v>
      </c>
      <c r="B15" s="1" t="s">
        <v>283</v>
      </c>
      <c r="C15" s="1" t="s">
        <v>212</v>
      </c>
      <c r="D15" s="5" t="str">
        <f t="shared" ref="D15" si="5">"abilities/heroes/"&amp;LEFT(A15,LEN(A15)-2)&amp;"/"&amp;A15</f>
        <v>abilities/heroes/templar_assassin/templar_assassin_1</v>
      </c>
      <c r="E15" s="1" t="s">
        <v>284</v>
      </c>
      <c r="F15" s="2" t="s">
        <v>214</v>
      </c>
      <c r="G15" s="1">
        <v>20</v>
      </c>
      <c r="H15" s="1">
        <v>1</v>
      </c>
      <c r="I15" s="1">
        <v>3</v>
      </c>
      <c r="J15" s="1" t="s">
        <v>226</v>
      </c>
      <c r="K15" s="1">
        <v>800</v>
      </c>
      <c r="L15" s="1">
        <v>0.1</v>
      </c>
      <c r="O15" s="1">
        <v>8</v>
      </c>
      <c r="S15" s="1" t="s">
        <v>358</v>
      </c>
      <c r="U15" s="1" t="s">
        <v>5</v>
      </c>
      <c r="V15" s="1" t="s">
        <v>216</v>
      </c>
      <c r="W15" s="1" t="s">
        <v>217</v>
      </c>
      <c r="Y15" s="1" t="s">
        <v>218</v>
      </c>
      <c r="AA15" s="8" t="s">
        <v>228</v>
      </c>
      <c r="AB15" s="8" t="s">
        <v>285</v>
      </c>
      <c r="AC15" s="8" t="s">
        <v>286</v>
      </c>
      <c r="AD15" s="8" t="s">
        <v>287</v>
      </c>
      <c r="AE15" s="8" t="s">
        <v>288</v>
      </c>
      <c r="AF15" s="8" t="s">
        <v>242</v>
      </c>
      <c r="AG15" s="8" t="s">
        <v>289</v>
      </c>
      <c r="AH15" s="8" t="s">
        <v>290</v>
      </c>
    </row>
    <row r="16" spans="1:42" x14ac:dyDescent="0.4">
      <c r="AA16" s="8" t="s">
        <v>363</v>
      </c>
      <c r="AB16" s="8" t="s">
        <v>368</v>
      </c>
      <c r="AC16" s="8">
        <v>30</v>
      </c>
      <c r="AD16" s="8">
        <v>90</v>
      </c>
      <c r="AE16" s="8">
        <v>600</v>
      </c>
      <c r="AF16" s="8">
        <v>5</v>
      </c>
      <c r="AG16" s="8">
        <v>2000</v>
      </c>
      <c r="AH16" s="8">
        <v>50</v>
      </c>
    </row>
    <row r="17" spans="1:41" s="2" customFormat="1" x14ac:dyDescent="0.4">
      <c r="A17" s="2" t="s">
        <v>291</v>
      </c>
      <c r="B17" s="2" t="s">
        <v>292</v>
      </c>
      <c r="C17" s="2" t="s">
        <v>212</v>
      </c>
      <c r="D17" s="14" t="str">
        <f t="shared" ref="D17" si="6">"abilities/heroes/"&amp;LEFT(A17,LEN(A17)-2)&amp;"/"&amp;A17</f>
        <v>abilities/heroes/templar_assassin/templar_assassin_2</v>
      </c>
      <c r="E17" s="2" t="s">
        <v>293</v>
      </c>
      <c r="F17" s="2" t="s">
        <v>214</v>
      </c>
      <c r="G17" s="2">
        <v>20</v>
      </c>
      <c r="H17" s="2">
        <v>1</v>
      </c>
      <c r="I17" s="2">
        <v>3</v>
      </c>
      <c r="J17" s="2" t="s">
        <v>236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Q17" s="2">
        <v>1</v>
      </c>
      <c r="S17" s="2" t="s">
        <v>359</v>
      </c>
      <c r="U17" s="2" t="s">
        <v>294</v>
      </c>
      <c r="V17" s="2" t="s">
        <v>216</v>
      </c>
      <c r="W17" s="2" t="s">
        <v>217</v>
      </c>
      <c r="Y17" s="2" t="s">
        <v>218</v>
      </c>
      <c r="AA17" s="12" t="s">
        <v>228</v>
      </c>
      <c r="AB17" s="12" t="s">
        <v>285</v>
      </c>
      <c r="AC17" s="12" t="s">
        <v>289</v>
      </c>
      <c r="AD17" s="12" t="s">
        <v>288</v>
      </c>
      <c r="AE17" s="12" t="s">
        <v>295</v>
      </c>
      <c r="AF17" s="12" t="s">
        <v>242</v>
      </c>
      <c r="AG17" s="12" t="s">
        <v>229</v>
      </c>
      <c r="AH17" s="12" t="s">
        <v>296</v>
      </c>
      <c r="AI17" s="13"/>
      <c r="AJ17" s="13"/>
      <c r="AK17" s="13"/>
      <c r="AL17" s="13"/>
      <c r="AM17" s="13"/>
      <c r="AN17" s="13"/>
      <c r="AO17" s="13"/>
    </row>
    <row r="18" spans="1:41" s="2" customFormat="1" x14ac:dyDescent="0.4">
      <c r="D18" s="1"/>
      <c r="AA18" s="12" t="s">
        <v>364</v>
      </c>
      <c r="AB18" s="12" t="s">
        <v>366</v>
      </c>
      <c r="AC18" s="12">
        <v>1600</v>
      </c>
      <c r="AD18" s="12">
        <v>800</v>
      </c>
      <c r="AE18" s="12">
        <v>50</v>
      </c>
      <c r="AF18" s="12">
        <v>3</v>
      </c>
      <c r="AG18" s="12">
        <v>200</v>
      </c>
      <c r="AH18" s="12">
        <v>30</v>
      </c>
      <c r="AI18" s="13"/>
      <c r="AJ18" s="13"/>
      <c r="AK18" s="13"/>
      <c r="AL18" s="13"/>
      <c r="AM18" s="13"/>
      <c r="AN18" s="13"/>
      <c r="AO18" s="13"/>
    </row>
    <row r="19" spans="1:41" x14ac:dyDescent="0.4">
      <c r="A19" s="1" t="s">
        <v>297</v>
      </c>
      <c r="B19" s="1" t="s">
        <v>298</v>
      </c>
      <c r="C19" s="1" t="s">
        <v>212</v>
      </c>
      <c r="D19" s="5" t="str">
        <f t="shared" ref="D19" si="7">"abilities/heroes/"&amp;LEFT(A19,LEN(A19)-2)&amp;"/"&amp;A19</f>
        <v>abilities/heroes/templar_assassin/templar_assassin_3</v>
      </c>
      <c r="E19" s="1" t="s">
        <v>299</v>
      </c>
      <c r="F19" s="2" t="s">
        <v>214</v>
      </c>
      <c r="G19" s="1">
        <v>20</v>
      </c>
      <c r="H19" s="1">
        <v>1</v>
      </c>
      <c r="I19" s="1">
        <v>3</v>
      </c>
      <c r="J19" s="1" t="s">
        <v>226</v>
      </c>
      <c r="O19" s="1">
        <v>8</v>
      </c>
      <c r="Q19" s="1">
        <v>1</v>
      </c>
      <c r="S19" s="1" t="s">
        <v>360</v>
      </c>
      <c r="U19" s="1" t="s">
        <v>88</v>
      </c>
      <c r="V19" s="1" t="s">
        <v>216</v>
      </c>
      <c r="W19" s="1" t="s">
        <v>217</v>
      </c>
      <c r="Y19" s="1" t="s">
        <v>218</v>
      </c>
      <c r="AA19" s="8" t="s">
        <v>285</v>
      </c>
      <c r="AB19" s="8" t="s">
        <v>302</v>
      </c>
      <c r="AC19" s="8" t="s">
        <v>242</v>
      </c>
      <c r="AD19" s="8" t="s">
        <v>229</v>
      </c>
      <c r="AE19" s="8" t="s">
        <v>303</v>
      </c>
      <c r="AF19" s="8" t="s">
        <v>304</v>
      </c>
      <c r="AG19" s="8" t="s">
        <v>305</v>
      </c>
      <c r="AH19" s="8" t="s">
        <v>306</v>
      </c>
      <c r="AI19" s="10" t="s">
        <v>300</v>
      </c>
      <c r="AJ19" s="10" t="s">
        <v>301</v>
      </c>
      <c r="AK19" s="10" t="s">
        <v>228</v>
      </c>
    </row>
    <row r="20" spans="1:41" x14ac:dyDescent="0.4">
      <c r="AA20" s="8" t="s">
        <v>373</v>
      </c>
      <c r="AB20" s="8" t="s">
        <v>374</v>
      </c>
      <c r="AC20" s="8">
        <v>6</v>
      </c>
      <c r="AD20" s="8">
        <v>150</v>
      </c>
      <c r="AE20" s="8">
        <v>0.25</v>
      </c>
      <c r="AF20" s="8">
        <v>300</v>
      </c>
      <c r="AG20" s="8">
        <v>1</v>
      </c>
      <c r="AH20" s="8">
        <v>0.5</v>
      </c>
      <c r="AI20" s="10" t="s">
        <v>359</v>
      </c>
      <c r="AJ20" s="10">
        <v>2</v>
      </c>
      <c r="AK20" s="10" t="s">
        <v>362</v>
      </c>
    </row>
    <row r="21" spans="1:41" s="2" customFormat="1" x14ac:dyDescent="0.4">
      <c r="A21" s="2" t="s">
        <v>307</v>
      </c>
      <c r="B21" s="2" t="s">
        <v>308</v>
      </c>
      <c r="C21" s="2" t="s">
        <v>212</v>
      </c>
      <c r="D21" s="14" t="str">
        <f t="shared" ref="D21" si="8">"abilities/heroes/"&amp;LEFT(A21,LEN(A21)-2)&amp;"/"&amp;A21</f>
        <v>abilities/heroes/templar_assassin/templar_assassin_4</v>
      </c>
      <c r="E21" s="2" t="s">
        <v>309</v>
      </c>
      <c r="F21" s="1" t="s">
        <v>257</v>
      </c>
      <c r="G21" s="2">
        <v>8</v>
      </c>
      <c r="H21" s="2">
        <v>8</v>
      </c>
      <c r="I21" s="2">
        <v>24</v>
      </c>
      <c r="O21" s="2">
        <v>30</v>
      </c>
      <c r="Q21" s="2">
        <v>1</v>
      </c>
      <c r="S21" s="2" t="s">
        <v>361</v>
      </c>
      <c r="U21" s="2" t="s">
        <v>258</v>
      </c>
      <c r="V21" s="2" t="s">
        <v>216</v>
      </c>
      <c r="W21" s="2" t="s">
        <v>217</v>
      </c>
      <c r="Y21" s="2" t="s">
        <v>218</v>
      </c>
      <c r="AA21" s="12" t="s">
        <v>228</v>
      </c>
      <c r="AB21" s="12" t="s">
        <v>285</v>
      </c>
      <c r="AC21" s="12" t="s">
        <v>303</v>
      </c>
      <c r="AD21" s="12" t="s">
        <v>229</v>
      </c>
      <c r="AE21" s="12" t="s">
        <v>310</v>
      </c>
      <c r="AF21" s="12" t="s">
        <v>311</v>
      </c>
      <c r="AG21" s="12" t="s">
        <v>295</v>
      </c>
      <c r="AH21" s="12" t="s">
        <v>242</v>
      </c>
      <c r="AI21" s="13" t="s">
        <v>312</v>
      </c>
      <c r="AJ21" s="13"/>
      <c r="AK21" s="13"/>
      <c r="AL21" s="13"/>
      <c r="AM21" s="13"/>
      <c r="AN21" s="13"/>
      <c r="AO21" s="13"/>
    </row>
    <row r="22" spans="1:41" s="2" customFormat="1" x14ac:dyDescent="0.4">
      <c r="D22" s="1"/>
      <c r="AA22" s="12" t="s">
        <v>365</v>
      </c>
      <c r="AB22" s="12" t="s">
        <v>369</v>
      </c>
      <c r="AC22" s="12">
        <v>0.2</v>
      </c>
      <c r="AD22" s="12">
        <v>600</v>
      </c>
      <c r="AE22" s="12">
        <v>2</v>
      </c>
      <c r="AF22" s="12">
        <v>80</v>
      </c>
      <c r="AG22" s="12">
        <v>100</v>
      </c>
      <c r="AH22" s="12">
        <v>0.1</v>
      </c>
      <c r="AI22" s="13">
        <v>15</v>
      </c>
      <c r="AJ22" s="13"/>
      <c r="AK22" s="13"/>
      <c r="AL22" s="13"/>
      <c r="AM22" s="13"/>
      <c r="AN22" s="13"/>
      <c r="AO22" s="13"/>
    </row>
    <row r="23" spans="1:41" x14ac:dyDescent="0.4">
      <c r="A23" s="1" t="s">
        <v>313</v>
      </c>
      <c r="B23" s="1" t="s">
        <v>356</v>
      </c>
      <c r="C23" s="1" t="s">
        <v>212</v>
      </c>
      <c r="D23" s="3" t="s">
        <v>314</v>
      </c>
      <c r="E23" s="1" t="s">
        <v>315</v>
      </c>
      <c r="F23" s="2" t="s">
        <v>214</v>
      </c>
      <c r="U23" s="1" t="s">
        <v>316</v>
      </c>
      <c r="V23" s="1" t="s">
        <v>216</v>
      </c>
      <c r="W23" s="1" t="s">
        <v>217</v>
      </c>
      <c r="Y23" s="1" t="s">
        <v>218</v>
      </c>
      <c r="AA23" s="8" t="s">
        <v>220</v>
      </c>
      <c r="AB23" s="8" t="s">
        <v>317</v>
      </c>
      <c r="AC23" s="8" t="s">
        <v>229</v>
      </c>
      <c r="AD23" s="8" t="s">
        <v>306</v>
      </c>
      <c r="AE23" s="8" t="s">
        <v>318</v>
      </c>
    </row>
    <row r="24" spans="1:41" x14ac:dyDescent="0.4">
      <c r="D24" s="3"/>
      <c r="AA24" s="8">
        <v>25</v>
      </c>
      <c r="AB24" s="8">
        <v>5</v>
      </c>
      <c r="AC24" s="8">
        <v>300</v>
      </c>
      <c r="AD24" s="8">
        <v>0.5</v>
      </c>
      <c r="AE24" s="8">
        <v>0.01</v>
      </c>
    </row>
    <row r="25" spans="1:41" s="2" customFormat="1" x14ac:dyDescent="0.4">
      <c r="A25" s="2" t="s">
        <v>319</v>
      </c>
      <c r="C25" s="2" t="s">
        <v>212</v>
      </c>
      <c r="D25" s="2" t="s">
        <v>320</v>
      </c>
      <c r="E25" s="2" t="s">
        <v>319</v>
      </c>
      <c r="F25" s="2" t="s">
        <v>214</v>
      </c>
      <c r="U25" s="2" t="s">
        <v>321</v>
      </c>
      <c r="AA25" s="12" t="s">
        <v>322</v>
      </c>
      <c r="AB25" s="12" t="s">
        <v>300</v>
      </c>
      <c r="AC25" s="12"/>
      <c r="AD25" s="12"/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>
        <v>5</v>
      </c>
      <c r="AB26" s="12">
        <v>550</v>
      </c>
      <c r="AC26" s="12"/>
      <c r="AD26" s="12"/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323</v>
      </c>
      <c r="C27" s="1" t="s">
        <v>212</v>
      </c>
      <c r="D27" s="3" t="s">
        <v>324</v>
      </c>
      <c r="E27" s="1" t="s">
        <v>323</v>
      </c>
      <c r="F27" s="2" t="s">
        <v>214</v>
      </c>
      <c r="G27" s="1">
        <v>20</v>
      </c>
      <c r="H27" s="1">
        <v>1</v>
      </c>
      <c r="I27" s="1">
        <v>3</v>
      </c>
      <c r="J27" s="1" t="s">
        <v>325</v>
      </c>
      <c r="K27" s="1">
        <v>1200</v>
      </c>
      <c r="O27" s="1">
        <v>8</v>
      </c>
      <c r="S27" s="1" t="s">
        <v>326</v>
      </c>
      <c r="U27" s="1" t="s">
        <v>327</v>
      </c>
      <c r="V27" s="1" t="s">
        <v>216</v>
      </c>
      <c r="W27" s="1" t="s">
        <v>217</v>
      </c>
      <c r="Y27" s="1" t="s">
        <v>218</v>
      </c>
      <c r="AA27" s="8" t="s">
        <v>328</v>
      </c>
      <c r="AB27" s="8" t="s">
        <v>288</v>
      </c>
      <c r="AC27" s="8" t="s">
        <v>220</v>
      </c>
      <c r="AD27" s="8" t="s">
        <v>329</v>
      </c>
      <c r="AE27" s="8" t="s">
        <v>242</v>
      </c>
      <c r="AF27" s="8" t="s">
        <v>228</v>
      </c>
      <c r="AG27" s="8" t="s">
        <v>330</v>
      </c>
      <c r="AH27" s="8" t="s">
        <v>229</v>
      </c>
      <c r="AI27" s="10" t="s">
        <v>331</v>
      </c>
      <c r="AJ27" s="10" t="s">
        <v>332</v>
      </c>
      <c r="AK27" s="10" t="s">
        <v>333</v>
      </c>
      <c r="AL27" s="10" t="s">
        <v>289</v>
      </c>
    </row>
    <row r="28" spans="1:41" x14ac:dyDescent="0.4">
      <c r="D28" s="3"/>
      <c r="AA28" s="8">
        <v>16</v>
      </c>
      <c r="AB28" s="8">
        <v>1000</v>
      </c>
      <c r="AC28" s="8">
        <v>15</v>
      </c>
      <c r="AD28" s="8">
        <v>3</v>
      </c>
      <c r="AE28" s="8">
        <v>4</v>
      </c>
      <c r="AF28" s="8">
        <v>50</v>
      </c>
      <c r="AG28" s="8">
        <v>1.5</v>
      </c>
      <c r="AH28" s="8">
        <v>500</v>
      </c>
      <c r="AI28" s="10">
        <v>30</v>
      </c>
      <c r="AJ28" s="10">
        <v>1.5</v>
      </c>
      <c r="AK28" s="10">
        <v>50</v>
      </c>
      <c r="AL28" s="10">
        <v>900</v>
      </c>
    </row>
    <row r="29" spans="1:41" s="2" customFormat="1" x14ac:dyDescent="0.4">
      <c r="A29" s="2" t="s">
        <v>334</v>
      </c>
      <c r="C29" s="2" t="s">
        <v>212</v>
      </c>
      <c r="D29" s="2" t="s">
        <v>335</v>
      </c>
      <c r="E29" s="2" t="s">
        <v>334</v>
      </c>
      <c r="F29" s="2" t="s">
        <v>214</v>
      </c>
      <c r="G29" s="2">
        <v>20</v>
      </c>
      <c r="H29" s="2">
        <v>1</v>
      </c>
      <c r="I29" s="2">
        <v>3</v>
      </c>
      <c r="O29" s="2">
        <v>12</v>
      </c>
      <c r="U29" s="2" t="s">
        <v>336</v>
      </c>
      <c r="V29" s="2" t="s">
        <v>216</v>
      </c>
      <c r="W29" s="2" t="s">
        <v>217</v>
      </c>
      <c r="Y29" s="2" t="s">
        <v>218</v>
      </c>
      <c r="AA29" s="12" t="s">
        <v>242</v>
      </c>
      <c r="AB29" s="12" t="s">
        <v>337</v>
      </c>
      <c r="AC29" s="12" t="s">
        <v>338</v>
      </c>
      <c r="AD29" s="12" t="s">
        <v>339</v>
      </c>
      <c r="AE29" s="12"/>
      <c r="AF29" s="12"/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>
        <v>4</v>
      </c>
      <c r="AB30" s="12">
        <v>4</v>
      </c>
      <c r="AC30" s="12">
        <v>0.25</v>
      </c>
      <c r="AD30" s="12">
        <v>0.3</v>
      </c>
      <c r="AE30" s="12"/>
      <c r="AF30" s="12"/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352</v>
      </c>
      <c r="C31" s="1" t="s">
        <v>212</v>
      </c>
      <c r="D31" s="3" t="s">
        <v>355</v>
      </c>
      <c r="E31" s="1" t="s">
        <v>342</v>
      </c>
      <c r="F31" s="2" t="s">
        <v>214</v>
      </c>
      <c r="G31" s="1">
        <v>20</v>
      </c>
      <c r="H31" s="1">
        <v>1</v>
      </c>
      <c r="I31" s="1">
        <v>3</v>
      </c>
      <c r="J31" s="1" t="s">
        <v>236</v>
      </c>
      <c r="K31" s="1">
        <v>1200</v>
      </c>
      <c r="L31" s="1">
        <v>0.3</v>
      </c>
      <c r="O31" s="1">
        <v>10</v>
      </c>
      <c r="S31" s="1">
        <v>60</v>
      </c>
      <c r="U31" s="1" t="s">
        <v>89</v>
      </c>
      <c r="V31" s="1" t="s">
        <v>216</v>
      </c>
      <c r="W31" s="1" t="s">
        <v>217</v>
      </c>
      <c r="Y31" s="1" t="s">
        <v>218</v>
      </c>
      <c r="AA31" s="8" t="s">
        <v>228</v>
      </c>
      <c r="AB31" s="8" t="s">
        <v>317</v>
      </c>
      <c r="AC31" s="8" t="s">
        <v>242</v>
      </c>
    </row>
    <row r="32" spans="1:41" x14ac:dyDescent="0.4">
      <c r="D32" s="3"/>
      <c r="AA32" s="8">
        <v>50</v>
      </c>
      <c r="AB32" s="8">
        <v>2</v>
      </c>
      <c r="AC32" s="8">
        <v>3</v>
      </c>
    </row>
    <row r="33" spans="1:41" x14ac:dyDescent="0.4">
      <c r="A33" s="1" t="s">
        <v>353</v>
      </c>
      <c r="C33" s="1" t="s">
        <v>212</v>
      </c>
      <c r="D33" s="3" t="s">
        <v>354</v>
      </c>
      <c r="E33" s="1" t="s">
        <v>346</v>
      </c>
      <c r="F33" s="2" t="s">
        <v>214</v>
      </c>
      <c r="G33" s="1">
        <v>20</v>
      </c>
      <c r="H33" s="1">
        <v>1</v>
      </c>
      <c r="I33" s="1">
        <v>3</v>
      </c>
      <c r="J33" s="1" t="s">
        <v>236</v>
      </c>
      <c r="K33" s="1">
        <v>1200</v>
      </c>
      <c r="L33" s="1">
        <v>0.3</v>
      </c>
      <c r="O33" s="1">
        <v>10</v>
      </c>
      <c r="S33" s="1">
        <v>60</v>
      </c>
      <c r="U33" s="1" t="s">
        <v>89</v>
      </c>
      <c r="V33" s="1" t="s">
        <v>216</v>
      </c>
      <c r="W33" s="1" t="s">
        <v>217</v>
      </c>
      <c r="Y33" s="1" t="s">
        <v>218</v>
      </c>
      <c r="AA33" s="8" t="s">
        <v>228</v>
      </c>
      <c r="AB33" s="8" t="s">
        <v>317</v>
      </c>
      <c r="AC33" s="8" t="s">
        <v>242</v>
      </c>
    </row>
    <row r="34" spans="1:41" x14ac:dyDescent="0.4">
      <c r="D34" s="3"/>
      <c r="AA34" s="8">
        <v>50</v>
      </c>
      <c r="AB34" s="8">
        <v>2</v>
      </c>
      <c r="AC34" s="8">
        <v>3</v>
      </c>
    </row>
    <row r="35" spans="1:41" x14ac:dyDescent="0.4">
      <c r="A35" s="1" t="s">
        <v>340</v>
      </c>
      <c r="C35" s="1" t="s">
        <v>212</v>
      </c>
      <c r="D35" s="3" t="s">
        <v>341</v>
      </c>
      <c r="E35" s="1" t="s">
        <v>342</v>
      </c>
      <c r="F35" s="2" t="s">
        <v>214</v>
      </c>
      <c r="G35" s="1">
        <v>20</v>
      </c>
      <c r="H35" s="1">
        <v>1</v>
      </c>
      <c r="I35" s="1">
        <v>3</v>
      </c>
      <c r="U35" s="1" t="s">
        <v>0</v>
      </c>
      <c r="V35" s="1" t="s">
        <v>216</v>
      </c>
      <c r="W35" s="1" t="s">
        <v>217</v>
      </c>
      <c r="Y35" s="1" t="s">
        <v>343</v>
      </c>
      <c r="AA35" s="8" t="s">
        <v>228</v>
      </c>
      <c r="AB35" s="8" t="s">
        <v>317</v>
      </c>
      <c r="AC35" s="8" t="s">
        <v>331</v>
      </c>
      <c r="AD35" s="8" t="s">
        <v>332</v>
      </c>
      <c r="AE35" s="8" t="s">
        <v>344</v>
      </c>
      <c r="AF35" s="8" t="s">
        <v>345</v>
      </c>
    </row>
    <row r="36" spans="1:41" x14ac:dyDescent="0.4">
      <c r="D36" s="3"/>
      <c r="AA36" s="8">
        <v>50</v>
      </c>
      <c r="AB36" s="8">
        <v>1.5</v>
      </c>
      <c r="AC36" s="8">
        <v>-10</v>
      </c>
      <c r="AD36" s="8">
        <v>3</v>
      </c>
      <c r="AE36" s="8">
        <v>8</v>
      </c>
      <c r="AF36" s="8">
        <v>2</v>
      </c>
    </row>
    <row r="37" spans="1:41" x14ac:dyDescent="0.4">
      <c r="A37" s="1" t="s">
        <v>346</v>
      </c>
      <c r="C37" s="1" t="s">
        <v>212</v>
      </c>
      <c r="D37" s="3" t="s">
        <v>347</v>
      </c>
      <c r="E37" s="1" t="s">
        <v>346</v>
      </c>
      <c r="F37" s="2" t="s">
        <v>214</v>
      </c>
      <c r="G37" s="1">
        <v>20</v>
      </c>
      <c r="H37" s="1">
        <v>1</v>
      </c>
      <c r="I37" s="1">
        <v>3</v>
      </c>
      <c r="U37" s="1" t="s">
        <v>348</v>
      </c>
      <c r="V37" s="1" t="s">
        <v>216</v>
      </c>
      <c r="W37" s="1" t="s">
        <v>217</v>
      </c>
      <c r="Y37" s="1" t="s">
        <v>218</v>
      </c>
      <c r="AA37" s="8" t="s">
        <v>228</v>
      </c>
      <c r="AB37" s="8" t="s">
        <v>317</v>
      </c>
      <c r="AC37" s="8" t="s">
        <v>349</v>
      </c>
      <c r="AD37" s="8" t="s">
        <v>344</v>
      </c>
      <c r="AE37" s="8" t="s">
        <v>350</v>
      </c>
      <c r="AF37" s="8" t="s">
        <v>242</v>
      </c>
      <c r="AG37" s="8" t="s">
        <v>351</v>
      </c>
    </row>
    <row r="38" spans="1:41" x14ac:dyDescent="0.4">
      <c r="D38" s="3"/>
      <c r="AA38" s="8">
        <v>50</v>
      </c>
      <c r="AB38" s="8">
        <v>0.1</v>
      </c>
      <c r="AC38" s="8">
        <v>4</v>
      </c>
      <c r="AD38" s="8">
        <v>30</v>
      </c>
      <c r="AE38" s="8">
        <v>40</v>
      </c>
      <c r="AF38" s="8">
        <v>4</v>
      </c>
      <c r="AG38" s="8">
        <v>3</v>
      </c>
    </row>
    <row r="39" spans="1:41" x14ac:dyDescent="0.4">
      <c r="A39" s="1" t="s">
        <v>377</v>
      </c>
      <c r="B39" s="1" t="s">
        <v>356</v>
      </c>
      <c r="C39" s="1" t="s">
        <v>212</v>
      </c>
      <c r="D39" s="3" t="s">
        <v>376</v>
      </c>
      <c r="E39" s="1" t="s">
        <v>315</v>
      </c>
      <c r="F39" s="2" t="s">
        <v>214</v>
      </c>
      <c r="O39" s="1">
        <v>3</v>
      </c>
      <c r="U39" s="1" t="s">
        <v>395</v>
      </c>
      <c r="V39" s="1" t="s">
        <v>216</v>
      </c>
      <c r="W39" s="1" t="s">
        <v>217</v>
      </c>
      <c r="Y39" s="1" t="s">
        <v>218</v>
      </c>
      <c r="AA39" s="8" t="s">
        <v>317</v>
      </c>
      <c r="AB39" s="8" t="s">
        <v>229</v>
      </c>
      <c r="AC39" s="8" t="s">
        <v>306</v>
      </c>
      <c r="AD39" s="8" t="s">
        <v>318</v>
      </c>
    </row>
    <row r="40" spans="1:41" x14ac:dyDescent="0.4">
      <c r="D40" s="3"/>
      <c r="AA40" s="8">
        <v>5</v>
      </c>
      <c r="AB40" s="8">
        <v>300</v>
      </c>
      <c r="AC40" s="8">
        <v>0.5</v>
      </c>
      <c r="AD40" s="8">
        <v>0.01</v>
      </c>
    </row>
    <row r="41" spans="1:41" x14ac:dyDescent="0.4">
      <c r="A41" s="1" t="s">
        <v>378</v>
      </c>
      <c r="C41" s="1" t="s">
        <v>212</v>
      </c>
      <c r="D41" s="3" t="s">
        <v>375</v>
      </c>
      <c r="E41" s="1" t="s">
        <v>323</v>
      </c>
      <c r="F41" s="2" t="s">
        <v>214</v>
      </c>
      <c r="G41" s="1">
        <v>20</v>
      </c>
      <c r="H41" s="1">
        <v>1</v>
      </c>
      <c r="I41" s="1">
        <v>3</v>
      </c>
      <c r="J41" s="1" t="s">
        <v>325</v>
      </c>
      <c r="K41" s="1">
        <v>1200</v>
      </c>
      <c r="O41" s="1">
        <v>8</v>
      </c>
      <c r="S41" s="1" t="s">
        <v>326</v>
      </c>
      <c r="U41" s="1" t="s">
        <v>327</v>
      </c>
      <c r="V41" s="1" t="s">
        <v>216</v>
      </c>
      <c r="W41" s="1" t="s">
        <v>217</v>
      </c>
      <c r="Y41" s="1" t="s">
        <v>218</v>
      </c>
      <c r="AA41" s="8" t="s">
        <v>289</v>
      </c>
      <c r="AB41" s="8" t="s">
        <v>328</v>
      </c>
      <c r="AC41" s="8" t="s">
        <v>288</v>
      </c>
      <c r="AD41" s="8" t="s">
        <v>220</v>
      </c>
      <c r="AE41" s="8" t="s">
        <v>242</v>
      </c>
      <c r="AF41" s="8" t="s">
        <v>228</v>
      </c>
      <c r="AG41" s="8" t="s">
        <v>345</v>
      </c>
      <c r="AH41" s="8" t="s">
        <v>344</v>
      </c>
      <c r="AI41" s="10" t="s">
        <v>330</v>
      </c>
      <c r="AJ41" s="10" t="s">
        <v>229</v>
      </c>
      <c r="AK41" s="10" t="s">
        <v>331</v>
      </c>
      <c r="AL41" s="8" t="s">
        <v>332</v>
      </c>
      <c r="AM41" s="8" t="s">
        <v>333</v>
      </c>
    </row>
    <row r="42" spans="1:41" x14ac:dyDescent="0.4">
      <c r="D42" s="3"/>
      <c r="AA42" s="8">
        <v>900</v>
      </c>
      <c r="AB42" s="8">
        <v>16</v>
      </c>
      <c r="AC42" s="8">
        <v>1000</v>
      </c>
      <c r="AD42" s="8">
        <v>15</v>
      </c>
      <c r="AE42" s="8">
        <v>4</v>
      </c>
      <c r="AF42" s="8" t="s">
        <v>362</v>
      </c>
      <c r="AG42" s="8">
        <v>2</v>
      </c>
      <c r="AH42" s="8">
        <v>8</v>
      </c>
      <c r="AI42" s="10" t="s">
        <v>392</v>
      </c>
      <c r="AJ42" s="10">
        <v>500</v>
      </c>
      <c r="AK42" s="10">
        <v>30</v>
      </c>
      <c r="AL42" s="8">
        <v>1.5</v>
      </c>
      <c r="AM42" s="8">
        <v>50</v>
      </c>
    </row>
    <row r="43" spans="1:41" s="2" customFormat="1" x14ac:dyDescent="0.4">
      <c r="A43" s="2" t="s">
        <v>379</v>
      </c>
      <c r="C43" s="2" t="s">
        <v>212</v>
      </c>
      <c r="D43" s="2" t="s">
        <v>380</v>
      </c>
      <c r="E43" s="2" t="s">
        <v>334</v>
      </c>
      <c r="F43" s="2" t="s">
        <v>214</v>
      </c>
      <c r="G43" s="2">
        <v>20</v>
      </c>
      <c r="H43" s="2">
        <v>1</v>
      </c>
      <c r="I43" s="2">
        <v>3</v>
      </c>
      <c r="O43" s="2">
        <v>12</v>
      </c>
      <c r="S43" s="2" t="s">
        <v>359</v>
      </c>
      <c r="U43" s="2" t="s">
        <v>393</v>
      </c>
      <c r="V43" s="2" t="s">
        <v>216</v>
      </c>
      <c r="W43" s="2" t="s">
        <v>217</v>
      </c>
      <c r="Y43" s="2" t="s">
        <v>218</v>
      </c>
      <c r="AA43" s="12" t="s">
        <v>242</v>
      </c>
      <c r="AB43" s="12" t="s">
        <v>337</v>
      </c>
      <c r="AC43" s="12" t="s">
        <v>338</v>
      </c>
      <c r="AD43" s="12" t="s">
        <v>339</v>
      </c>
      <c r="AE43" s="12"/>
      <c r="AF43" s="12"/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AA44" s="12">
        <v>6</v>
      </c>
      <c r="AB44" s="12">
        <v>4</v>
      </c>
      <c r="AC44" s="12" t="s">
        <v>392</v>
      </c>
      <c r="AD44" s="12">
        <v>0.3</v>
      </c>
      <c r="AE44" s="12"/>
      <c r="AF44" s="12"/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381</v>
      </c>
      <c r="C45" s="1" t="s">
        <v>212</v>
      </c>
      <c r="D45" s="3" t="s">
        <v>382</v>
      </c>
      <c r="E45" s="1" t="s">
        <v>346</v>
      </c>
      <c r="F45" s="2" t="s">
        <v>214</v>
      </c>
      <c r="G45" s="1">
        <v>20</v>
      </c>
      <c r="H45" s="1">
        <v>1</v>
      </c>
      <c r="I45" s="1">
        <v>3</v>
      </c>
      <c r="U45" s="1" t="s">
        <v>0</v>
      </c>
      <c r="V45" s="1" t="s">
        <v>216</v>
      </c>
      <c r="W45" s="1" t="s">
        <v>217</v>
      </c>
      <c r="Y45" s="1" t="s">
        <v>388</v>
      </c>
      <c r="AA45" s="8" t="s">
        <v>228</v>
      </c>
      <c r="AB45" s="8" t="s">
        <v>389</v>
      </c>
      <c r="AC45" s="8" t="s">
        <v>349</v>
      </c>
      <c r="AD45" s="8" t="s">
        <v>344</v>
      </c>
      <c r="AE45" s="8" t="s">
        <v>350</v>
      </c>
      <c r="AF45" s="8" t="s">
        <v>242</v>
      </c>
      <c r="AG45" s="8" t="s">
        <v>351</v>
      </c>
    </row>
    <row r="46" spans="1:41" x14ac:dyDescent="0.4">
      <c r="D46" s="3"/>
      <c r="AA46" s="8" t="s">
        <v>391</v>
      </c>
      <c r="AB46" s="8" t="s">
        <v>390</v>
      </c>
      <c r="AC46" s="8" t="s">
        <v>370</v>
      </c>
      <c r="AD46" s="8">
        <v>30</v>
      </c>
      <c r="AE46" s="8">
        <v>40</v>
      </c>
      <c r="AF46" s="8">
        <v>4</v>
      </c>
      <c r="AG46" s="8">
        <v>3</v>
      </c>
    </row>
    <row r="47" spans="1:41" x14ac:dyDescent="0.4">
      <c r="A47" s="1" t="s">
        <v>394</v>
      </c>
      <c r="B47" s="1" t="s">
        <v>383</v>
      </c>
      <c r="C47" s="1" t="s">
        <v>212</v>
      </c>
      <c r="D47" s="3" t="s">
        <v>384</v>
      </c>
      <c r="E47" s="1" t="s">
        <v>385</v>
      </c>
      <c r="F47" s="1" t="s">
        <v>257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S47" s="2" t="s">
        <v>361</v>
      </c>
      <c r="U47" s="1" t="s">
        <v>89</v>
      </c>
      <c r="V47" s="1" t="s">
        <v>216</v>
      </c>
      <c r="W47" s="1" t="s">
        <v>217</v>
      </c>
      <c r="Y47" s="1" t="s">
        <v>388</v>
      </c>
      <c r="AA47" s="8" t="s">
        <v>387</v>
      </c>
      <c r="AB47" s="8" t="s">
        <v>317</v>
      </c>
    </row>
    <row r="48" spans="1:41" x14ac:dyDescent="0.4">
      <c r="AA48" s="8">
        <v>50</v>
      </c>
      <c r="AB48" s="8" t="s">
        <v>386</v>
      </c>
    </row>
    <row r="49" spans="1:42" x14ac:dyDescent="0.4">
      <c r="A49" s="1" t="s">
        <v>399</v>
      </c>
      <c r="C49" s="1" t="s">
        <v>212</v>
      </c>
      <c r="D49" s="3" t="s">
        <v>400</v>
      </c>
      <c r="E49" s="1" t="s">
        <v>399</v>
      </c>
      <c r="F49" s="2" t="s">
        <v>214</v>
      </c>
      <c r="G49" s="1">
        <v>1</v>
      </c>
      <c r="O49" s="1">
        <v>3</v>
      </c>
      <c r="P49" s="1">
        <v>1</v>
      </c>
      <c r="S49" s="1">
        <v>100</v>
      </c>
      <c r="U49" s="1" t="s">
        <v>316</v>
      </c>
      <c r="V49" s="1" t="s">
        <v>216</v>
      </c>
      <c r="W49" s="1" t="s">
        <v>217</v>
      </c>
      <c r="Y49" s="1" t="s">
        <v>218</v>
      </c>
      <c r="AA49" s="8" t="s">
        <v>242</v>
      </c>
      <c r="AB49" s="8" t="s">
        <v>403</v>
      </c>
      <c r="AC49" s="8" t="s">
        <v>253</v>
      </c>
      <c r="AD49" s="8" t="s">
        <v>285</v>
      </c>
      <c r="AE49" s="8" t="s">
        <v>401</v>
      </c>
      <c r="AF49" s="8" t="s">
        <v>229</v>
      </c>
      <c r="AG49" s="8" t="s">
        <v>490</v>
      </c>
    </row>
    <row r="50" spans="1:42" x14ac:dyDescent="0.4">
      <c r="AA50" s="8">
        <v>5</v>
      </c>
      <c r="AB50" s="8">
        <v>6</v>
      </c>
      <c r="AC50" s="8">
        <v>3</v>
      </c>
      <c r="AD50" s="8">
        <v>60</v>
      </c>
      <c r="AE50" s="8">
        <v>30</v>
      </c>
      <c r="AF50" s="8">
        <v>600</v>
      </c>
      <c r="AG50" s="8">
        <v>100</v>
      </c>
    </row>
    <row r="51" spans="1:42" x14ac:dyDescent="0.4">
      <c r="A51" s="1" t="s">
        <v>406</v>
      </c>
      <c r="C51" s="1" t="s">
        <v>212</v>
      </c>
      <c r="D51" s="3" t="s">
        <v>409</v>
      </c>
      <c r="E51" s="1" t="s">
        <v>406</v>
      </c>
      <c r="F51" s="2" t="s">
        <v>214</v>
      </c>
      <c r="G51" s="1">
        <v>20</v>
      </c>
      <c r="H51" s="1">
        <v>1</v>
      </c>
      <c r="I51" s="1">
        <v>3</v>
      </c>
      <c r="J51" s="1" t="s">
        <v>486</v>
      </c>
      <c r="O51" s="1">
        <v>3</v>
      </c>
      <c r="S51" s="1">
        <v>100</v>
      </c>
      <c r="U51" s="1" t="s">
        <v>89</v>
      </c>
      <c r="V51" s="1" t="s">
        <v>216</v>
      </c>
      <c r="W51" s="1" t="s">
        <v>217</v>
      </c>
      <c r="Y51" s="1" t="s">
        <v>218</v>
      </c>
      <c r="AA51" s="8" t="s">
        <v>228</v>
      </c>
      <c r="AB51" s="8" t="s">
        <v>285</v>
      </c>
      <c r="AC51" s="8" t="s">
        <v>288</v>
      </c>
      <c r="AD51" s="8" t="s">
        <v>289</v>
      </c>
      <c r="AE51" s="8" t="s">
        <v>229</v>
      </c>
      <c r="AF51" s="8" t="s">
        <v>428</v>
      </c>
      <c r="AG51" s="8" t="s">
        <v>295</v>
      </c>
      <c r="AH51" s="8" t="s">
        <v>242</v>
      </c>
      <c r="AI51" s="10" t="s">
        <v>434</v>
      </c>
    </row>
    <row r="52" spans="1:42" x14ac:dyDescent="0.4">
      <c r="AA52" s="8" t="s">
        <v>414</v>
      </c>
      <c r="AB52" s="8" t="s">
        <v>366</v>
      </c>
      <c r="AC52" s="8">
        <v>3000</v>
      </c>
      <c r="AD52" s="8">
        <v>2000</v>
      </c>
      <c r="AE52" s="8">
        <v>200</v>
      </c>
      <c r="AF52" s="8" t="s">
        <v>373</v>
      </c>
      <c r="AG52" s="8">
        <v>-60</v>
      </c>
      <c r="AH52" s="8">
        <v>10</v>
      </c>
      <c r="AI52" s="10" t="s">
        <v>435</v>
      </c>
    </row>
    <row r="53" spans="1:42" x14ac:dyDescent="0.4">
      <c r="A53" s="1" t="s">
        <v>407</v>
      </c>
      <c r="C53" s="1" t="s">
        <v>212</v>
      </c>
      <c r="D53" s="3" t="s">
        <v>410</v>
      </c>
      <c r="E53" s="1" t="s">
        <v>413</v>
      </c>
      <c r="F53" s="2" t="s">
        <v>214</v>
      </c>
      <c r="G53" s="1">
        <v>20</v>
      </c>
      <c r="H53" s="1">
        <v>1</v>
      </c>
      <c r="I53" s="1">
        <v>3</v>
      </c>
      <c r="J53" s="1" t="s">
        <v>446</v>
      </c>
      <c r="O53" s="1">
        <v>10</v>
      </c>
      <c r="S53" s="1">
        <v>60</v>
      </c>
      <c r="U53" s="1" t="s">
        <v>88</v>
      </c>
      <c r="V53" s="1" t="s">
        <v>216</v>
      </c>
      <c r="W53" s="1" t="s">
        <v>217</v>
      </c>
      <c r="Y53" s="1" t="s">
        <v>218</v>
      </c>
      <c r="AA53" s="8" t="s">
        <v>285</v>
      </c>
      <c r="AB53" s="8" t="s">
        <v>405</v>
      </c>
      <c r="AC53" s="8" t="s">
        <v>419</v>
      </c>
      <c r="AD53" s="8" t="s">
        <v>423</v>
      </c>
      <c r="AE53" s="8" t="s">
        <v>426</v>
      </c>
      <c r="AF53" s="8" t="s">
        <v>229</v>
      </c>
      <c r="AG53" s="8" t="s">
        <v>430</v>
      </c>
      <c r="AH53" s="8" t="s">
        <v>431</v>
      </c>
      <c r="AI53" s="10" t="s">
        <v>488</v>
      </c>
      <c r="AJ53" s="10" t="s">
        <v>491</v>
      </c>
    </row>
    <row r="54" spans="1:42" x14ac:dyDescent="0.4">
      <c r="AA54" s="8" t="s">
        <v>366</v>
      </c>
      <c r="AB54" s="8" t="s">
        <v>417</v>
      </c>
      <c r="AC54" s="8">
        <v>1</v>
      </c>
      <c r="AD54" s="8" t="s">
        <v>373</v>
      </c>
      <c r="AE54" s="8" t="s">
        <v>427</v>
      </c>
      <c r="AF54" s="8">
        <v>450</v>
      </c>
      <c r="AG54" s="8">
        <v>3</v>
      </c>
      <c r="AH54" s="8" t="s">
        <v>373</v>
      </c>
      <c r="AI54" s="10">
        <v>30</v>
      </c>
      <c r="AJ54" s="10">
        <v>50</v>
      </c>
    </row>
    <row r="55" spans="1:42" x14ac:dyDescent="0.4">
      <c r="A55" s="1" t="s">
        <v>408</v>
      </c>
      <c r="C55" s="1" t="s">
        <v>212</v>
      </c>
      <c r="D55" s="3" t="s">
        <v>411</v>
      </c>
      <c r="E55" s="1" t="s">
        <v>408</v>
      </c>
      <c r="F55" s="2" t="s">
        <v>214</v>
      </c>
      <c r="G55" s="1">
        <v>20</v>
      </c>
      <c r="H55" s="1">
        <v>1</v>
      </c>
      <c r="I55" s="1">
        <v>3</v>
      </c>
      <c r="U55" s="1" t="s">
        <v>0</v>
      </c>
      <c r="V55" s="1" t="s">
        <v>216</v>
      </c>
      <c r="W55" s="1" t="s">
        <v>217</v>
      </c>
      <c r="Y55" s="1" t="s">
        <v>218</v>
      </c>
      <c r="AA55" s="8" t="s">
        <v>401</v>
      </c>
      <c r="AB55" s="8" t="s">
        <v>404</v>
      </c>
      <c r="AC55" s="8" t="s">
        <v>285</v>
      </c>
      <c r="AD55" s="8" t="s">
        <v>229</v>
      </c>
      <c r="AE55" s="8" t="s">
        <v>420</v>
      </c>
      <c r="AF55" s="8" t="s">
        <v>424</v>
      </c>
      <c r="AG55" s="8" t="s">
        <v>405</v>
      </c>
      <c r="AH55" s="8" t="s">
        <v>429</v>
      </c>
      <c r="AI55" s="10" t="s">
        <v>489</v>
      </c>
      <c r="AJ55" s="10" t="s">
        <v>432</v>
      </c>
      <c r="AK55" s="10" t="s">
        <v>493</v>
      </c>
    </row>
    <row r="56" spans="1:42" x14ac:dyDescent="0.4">
      <c r="AA56" s="8">
        <v>1</v>
      </c>
      <c r="AB56" s="8" t="s">
        <v>437</v>
      </c>
      <c r="AC56" s="8" t="s">
        <v>415</v>
      </c>
      <c r="AD56" s="8">
        <v>350</v>
      </c>
      <c r="AE56" s="8" t="s">
        <v>421</v>
      </c>
      <c r="AF56" s="8" t="s">
        <v>371</v>
      </c>
      <c r="AG56" s="8">
        <v>0.1</v>
      </c>
      <c r="AH56" s="8">
        <v>1200</v>
      </c>
      <c r="AI56" s="10">
        <v>0.3</v>
      </c>
      <c r="AJ56" s="10">
        <v>1</v>
      </c>
      <c r="AK56" s="10">
        <v>15</v>
      </c>
    </row>
    <row r="57" spans="1:42" x14ac:dyDescent="0.4">
      <c r="A57" s="1" t="s">
        <v>402</v>
      </c>
      <c r="C57" s="1" t="s">
        <v>212</v>
      </c>
      <c r="D57" s="3" t="s">
        <v>412</v>
      </c>
      <c r="E57" s="1" t="s">
        <v>402</v>
      </c>
      <c r="F57" s="1" t="s">
        <v>257</v>
      </c>
      <c r="G57" s="1">
        <v>8</v>
      </c>
      <c r="H57" s="1">
        <v>8</v>
      </c>
      <c r="I57" s="1">
        <v>24</v>
      </c>
      <c r="J57" s="1" t="s">
        <v>486</v>
      </c>
      <c r="K57" s="1">
        <v>1200</v>
      </c>
      <c r="O57" s="1">
        <v>60</v>
      </c>
      <c r="S57" s="1">
        <v>300</v>
      </c>
      <c r="U57" s="1" t="s">
        <v>5</v>
      </c>
      <c r="V57" s="1" t="s">
        <v>216</v>
      </c>
      <c r="W57" s="1" t="s">
        <v>217</v>
      </c>
      <c r="Y57" s="1" t="s">
        <v>218</v>
      </c>
      <c r="AA57" s="8" t="s">
        <v>285</v>
      </c>
      <c r="AB57" s="8" t="s">
        <v>418</v>
      </c>
      <c r="AC57" s="8" t="s">
        <v>422</v>
      </c>
      <c r="AD57" s="8" t="s">
        <v>425</v>
      </c>
      <c r="AE57" s="8" t="s">
        <v>242</v>
      </c>
      <c r="AF57" s="8" t="s">
        <v>219</v>
      </c>
      <c r="AG57" s="8" t="s">
        <v>229</v>
      </c>
      <c r="AH57" s="8" t="s">
        <v>433</v>
      </c>
      <c r="AI57" s="10" t="s">
        <v>436</v>
      </c>
      <c r="AJ57" s="10" t="s">
        <v>492</v>
      </c>
    </row>
    <row r="58" spans="1:42" x14ac:dyDescent="0.4">
      <c r="AA58" s="8" t="s">
        <v>416</v>
      </c>
      <c r="AB58" s="8">
        <v>30</v>
      </c>
      <c r="AC58" s="8">
        <v>4</v>
      </c>
      <c r="AD58" s="8">
        <v>30</v>
      </c>
      <c r="AE58" s="8">
        <v>30</v>
      </c>
      <c r="AF58" s="8">
        <v>2.5</v>
      </c>
      <c r="AG58" s="8">
        <v>450</v>
      </c>
      <c r="AH58" s="8">
        <v>50</v>
      </c>
      <c r="AI58" s="10">
        <v>1.4</v>
      </c>
      <c r="AJ58" s="10">
        <v>50</v>
      </c>
    </row>
    <row r="59" spans="1:42" x14ac:dyDescent="0.4">
      <c r="A59" s="1" t="s">
        <v>438</v>
      </c>
      <c r="C59" s="1" t="s">
        <v>212</v>
      </c>
      <c r="D59" s="3" t="s">
        <v>409</v>
      </c>
      <c r="E59" s="1" t="s">
        <v>439</v>
      </c>
      <c r="J59" s="1" t="s">
        <v>487</v>
      </c>
      <c r="U59" s="1" t="s">
        <v>321</v>
      </c>
    </row>
    <row r="61" spans="1:42" x14ac:dyDescent="0.4">
      <c r="A61" s="1" t="s">
        <v>466</v>
      </c>
      <c r="B61" s="1" t="s">
        <v>467</v>
      </c>
      <c r="C61" s="1" t="s">
        <v>212</v>
      </c>
      <c r="D61" s="1" t="str">
        <f>"abilities/heroes/"&amp;LEFT(A61,LEN(A61)-2)&amp;"/"&amp;A61</f>
        <v>abilities/heroes/juggernaut/juggernaut_0</v>
      </c>
      <c r="E61" s="1" t="s">
        <v>440</v>
      </c>
      <c r="F61" s="1" t="s">
        <v>214</v>
      </c>
      <c r="G61" s="1">
        <v>1</v>
      </c>
      <c r="O61" s="1">
        <v>10</v>
      </c>
      <c r="U61" s="1" t="s">
        <v>393</v>
      </c>
      <c r="AA61" s="8" t="s">
        <v>242</v>
      </c>
      <c r="AB61" s="8" t="s">
        <v>450</v>
      </c>
      <c r="AC61" s="8" t="s">
        <v>454</v>
      </c>
      <c r="AP61" s="1">
        <v>6</v>
      </c>
    </row>
    <row r="62" spans="1:42" x14ac:dyDescent="0.4">
      <c r="AA62" s="8">
        <v>4</v>
      </c>
      <c r="AB62" s="8">
        <v>400</v>
      </c>
      <c r="AC62" s="8">
        <v>100</v>
      </c>
    </row>
    <row r="63" spans="1:42" x14ac:dyDescent="0.4">
      <c r="A63" s="1" t="s">
        <v>475</v>
      </c>
      <c r="B63" s="1" t="s">
        <v>468</v>
      </c>
      <c r="C63" s="1" t="s">
        <v>212</v>
      </c>
      <c r="D63" s="1" t="str">
        <f t="shared" ref="D63" si="9">"abilities/heroes/"&amp;LEFT(A63,LEN(A63)-2)&amp;"/"&amp;A63</f>
        <v>abilities/heroes/juggernaut/juggernaut_1</v>
      </c>
      <c r="E63" s="1" t="s">
        <v>441</v>
      </c>
      <c r="F63" s="1" t="s">
        <v>214</v>
      </c>
      <c r="G63" s="1">
        <v>20</v>
      </c>
      <c r="H63" s="1">
        <v>1</v>
      </c>
      <c r="I63" s="1">
        <v>3</v>
      </c>
      <c r="J63" s="1" t="s">
        <v>445</v>
      </c>
      <c r="O63" s="1">
        <v>12</v>
      </c>
      <c r="S63" s="1" t="s">
        <v>397</v>
      </c>
      <c r="U63" s="1" t="s">
        <v>447</v>
      </c>
      <c r="V63" s="1" t="s">
        <v>216</v>
      </c>
      <c r="W63" s="1" t="s">
        <v>217</v>
      </c>
      <c r="Y63" s="1" t="s">
        <v>388</v>
      </c>
      <c r="AA63" s="8" t="s">
        <v>228</v>
      </c>
      <c r="AB63" s="8" t="s">
        <v>285</v>
      </c>
      <c r="AC63" s="8" t="s">
        <v>455</v>
      </c>
      <c r="AD63" s="8" t="s">
        <v>454</v>
      </c>
      <c r="AE63" s="8" t="s">
        <v>295</v>
      </c>
      <c r="AF63" s="8" t="s">
        <v>242</v>
      </c>
      <c r="AG63" s="8" t="s">
        <v>463</v>
      </c>
      <c r="AH63" s="8" t="s">
        <v>464</v>
      </c>
    </row>
    <row r="64" spans="1:42" x14ac:dyDescent="0.4">
      <c r="AA64" s="8">
        <v>100</v>
      </c>
      <c r="AB64" s="8">
        <v>0.25</v>
      </c>
      <c r="AC64" s="8">
        <v>600</v>
      </c>
      <c r="AD64" s="8">
        <v>100</v>
      </c>
      <c r="AE64" s="8">
        <v>80</v>
      </c>
      <c r="AF64" s="8">
        <v>4</v>
      </c>
      <c r="AG64" s="8">
        <v>0.2</v>
      </c>
      <c r="AH64" s="8">
        <v>30</v>
      </c>
    </row>
    <row r="65" spans="1:42" x14ac:dyDescent="0.4">
      <c r="A65" s="1" t="s">
        <v>476</v>
      </c>
      <c r="B65" s="1" t="s">
        <v>469</v>
      </c>
      <c r="C65" s="1" t="s">
        <v>212</v>
      </c>
      <c r="D65" s="1" t="str">
        <f t="shared" ref="D65" si="10">"abilities/heroes/"&amp;LEFT(A65,LEN(A65)-2)&amp;"/"&amp;A65</f>
        <v>abilities/heroes/juggernaut/juggernaut_2</v>
      </c>
      <c r="E65" s="1" t="s">
        <v>442</v>
      </c>
      <c r="F65" s="1" t="s">
        <v>214</v>
      </c>
      <c r="G65" s="1">
        <v>20</v>
      </c>
      <c r="H65" s="1">
        <v>1</v>
      </c>
      <c r="I65" s="1">
        <v>3</v>
      </c>
      <c r="O65" s="1">
        <v>30</v>
      </c>
      <c r="S65" s="1" t="s">
        <v>397</v>
      </c>
      <c r="U65" s="1" t="s">
        <v>88</v>
      </c>
      <c r="Z65" s="1" t="s">
        <v>448</v>
      </c>
      <c r="AA65" s="8" t="s">
        <v>242</v>
      </c>
      <c r="AB65" s="8" t="s">
        <v>451</v>
      </c>
      <c r="AC65" s="8" t="s">
        <v>456</v>
      </c>
      <c r="AD65" s="8" t="s">
        <v>458</v>
      </c>
      <c r="AP65" s="1">
        <v>10</v>
      </c>
    </row>
    <row r="66" spans="1:42" x14ac:dyDescent="0.4">
      <c r="AA66" s="8">
        <v>30</v>
      </c>
      <c r="AB66" s="8" t="s">
        <v>452</v>
      </c>
      <c r="AC66" s="8">
        <v>-1025</v>
      </c>
      <c r="AD66" s="8" t="s">
        <v>459</v>
      </c>
    </row>
    <row r="67" spans="1:42" x14ac:dyDescent="0.4">
      <c r="A67" s="1" t="s">
        <v>477</v>
      </c>
      <c r="B67" s="1" t="s">
        <v>470</v>
      </c>
      <c r="C67" s="1" t="s">
        <v>212</v>
      </c>
      <c r="D67" s="1" t="str">
        <f t="shared" ref="D67" si="11">"abilities/heroes/"&amp;LEFT(A67,LEN(A67)-2)&amp;"/"&amp;A67</f>
        <v>abilities/heroes/juggernaut/juggernaut_3</v>
      </c>
      <c r="E67" s="1" t="s">
        <v>443</v>
      </c>
      <c r="F67" s="1" t="s">
        <v>214</v>
      </c>
      <c r="G67" s="1">
        <v>20</v>
      </c>
      <c r="H67" s="1">
        <v>1</v>
      </c>
      <c r="I67" s="1">
        <v>3</v>
      </c>
      <c r="U67" s="1" t="s">
        <v>0</v>
      </c>
      <c r="V67" s="1" t="s">
        <v>216</v>
      </c>
      <c r="W67" s="1" t="s">
        <v>217</v>
      </c>
      <c r="Y67" s="1" t="s">
        <v>388</v>
      </c>
      <c r="AA67" s="8" t="s">
        <v>285</v>
      </c>
      <c r="AB67" s="8" t="s">
        <v>228</v>
      </c>
      <c r="AC67" s="8" t="s">
        <v>457</v>
      </c>
      <c r="AD67" s="8" t="s">
        <v>242</v>
      </c>
      <c r="AE67" s="8" t="s">
        <v>229</v>
      </c>
      <c r="AP67" s="1">
        <v>6</v>
      </c>
    </row>
    <row r="68" spans="1:42" x14ac:dyDescent="0.4">
      <c r="AA68" s="8" t="s">
        <v>390</v>
      </c>
      <c r="AB68" s="8" t="s">
        <v>453</v>
      </c>
      <c r="AC68" s="8">
        <v>15</v>
      </c>
      <c r="AD68" s="8" t="s">
        <v>460</v>
      </c>
      <c r="AE68" s="8">
        <v>300</v>
      </c>
    </row>
    <row r="69" spans="1:42" x14ac:dyDescent="0.4">
      <c r="A69" s="1" t="s">
        <v>478</v>
      </c>
      <c r="B69" s="1" t="s">
        <v>471</v>
      </c>
      <c r="C69" s="1" t="s">
        <v>212</v>
      </c>
      <c r="D69" s="1" t="str">
        <f t="shared" ref="D69" si="12">"abilities/heroes/"&amp;LEFT(A69,LEN(A69)-2)&amp;"/"&amp;A69</f>
        <v>abilities/heroes/juggernaut/juggernaut_4</v>
      </c>
      <c r="E69" s="1" t="s">
        <v>444</v>
      </c>
      <c r="F69" s="1" t="s">
        <v>257</v>
      </c>
      <c r="G69" s="1">
        <v>8</v>
      </c>
      <c r="H69" s="1">
        <v>8</v>
      </c>
      <c r="I69" s="1">
        <v>24</v>
      </c>
      <c r="J69" s="1" t="s">
        <v>446</v>
      </c>
      <c r="K69" s="1">
        <v>600</v>
      </c>
      <c r="L69" s="1">
        <v>0</v>
      </c>
      <c r="O69" s="1">
        <v>16</v>
      </c>
      <c r="S69" s="1">
        <v>110</v>
      </c>
      <c r="U69" s="1" t="s">
        <v>327</v>
      </c>
      <c r="V69" s="1" t="s">
        <v>216</v>
      </c>
      <c r="W69" s="1" t="s">
        <v>217</v>
      </c>
      <c r="Y69" s="1" t="s">
        <v>388</v>
      </c>
      <c r="AA69" s="8" t="s">
        <v>242</v>
      </c>
      <c r="AB69" s="8" t="s">
        <v>229</v>
      </c>
      <c r="AC69" s="8" t="s">
        <v>339</v>
      </c>
      <c r="AD69" s="8" t="s">
        <v>285</v>
      </c>
      <c r="AE69" s="8" t="s">
        <v>462</v>
      </c>
      <c r="AP69" s="1">
        <v>9</v>
      </c>
    </row>
    <row r="70" spans="1:42" x14ac:dyDescent="0.4">
      <c r="AA70" s="8" t="s">
        <v>449</v>
      </c>
      <c r="AB70" s="8">
        <v>600</v>
      </c>
      <c r="AC70" s="8">
        <v>0.05</v>
      </c>
      <c r="AD70" s="8" t="s">
        <v>461</v>
      </c>
      <c r="AE70" s="8">
        <v>4</v>
      </c>
    </row>
    <row r="71" spans="1:42" x14ac:dyDescent="0.4">
      <c r="A71" s="1" t="s">
        <v>472</v>
      </c>
      <c r="B71" s="1" t="s">
        <v>473</v>
      </c>
      <c r="C71" s="1" t="s">
        <v>212</v>
      </c>
      <c r="D71" s="1" t="s">
        <v>474</v>
      </c>
      <c r="E71" s="1" t="s">
        <v>479</v>
      </c>
      <c r="G71" s="1">
        <v>20</v>
      </c>
      <c r="J71" s="1" t="s">
        <v>480</v>
      </c>
      <c r="K71" s="1">
        <v>1200</v>
      </c>
      <c r="L71" s="1">
        <v>0.3</v>
      </c>
      <c r="O71" s="1">
        <v>8</v>
      </c>
      <c r="S71" s="1" t="s">
        <v>397</v>
      </c>
      <c r="U71" s="1" t="s">
        <v>481</v>
      </c>
      <c r="V71" s="1" t="s">
        <v>216</v>
      </c>
      <c r="W71" s="1" t="s">
        <v>217</v>
      </c>
      <c r="Y71" s="1" t="s">
        <v>388</v>
      </c>
      <c r="AA71" s="8" t="s">
        <v>228</v>
      </c>
      <c r="AB71" s="8" t="s">
        <v>285</v>
      </c>
      <c r="AC71" s="8" t="s">
        <v>242</v>
      </c>
    </row>
    <row r="72" spans="1:42" x14ac:dyDescent="0.4">
      <c r="AA72" s="8" t="s">
        <v>364</v>
      </c>
      <c r="AB72" s="8" t="s">
        <v>366</v>
      </c>
      <c r="AC72" s="8">
        <v>1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4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4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4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4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4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4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4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4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4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4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4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4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4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4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4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4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4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4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4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4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4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4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4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4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4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4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4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2020-05-23T01:39:00Z</dcterms:modified>
</cp:coreProperties>
</file>