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igciba\Documents\Dota Addons\GuardingAthena\design\3.kv配置表\abilities\"/>
    </mc:Choice>
  </mc:AlternateContent>
  <xr:revisionPtr revIDLastSave="0" documentId="13_ncr:1_{40BD976F-6F71-4718-B04D-8C1609B74C6B}" xr6:coauthVersionLast="45" xr6:coauthVersionMax="45" xr10:uidLastSave="{00000000-0000-0000-0000-000000000000}"/>
  <bookViews>
    <workbookView xWindow="5055" yWindow="3975" windowWidth="25350" windowHeight="14220" xr2:uid="{00000000-000D-0000-FFFF-FFFF00000000}"/>
  </bookViews>
  <sheets>
    <sheet name="Sheet1" sheetId="1" r:id="rId1"/>
    <sheet name="Sheet2" sheetId="2" r:id="rId2"/>
    <sheet name="backup_Sheet1" sheetId="17" r:id="rId3"/>
  </sheets>
  <definedNames>
    <definedName name="_xlnm._FilterDatabase" localSheetId="2" hidden="1">backup_Sheet1!$A$1:$AG$38</definedName>
    <definedName name="_xlnm._FilterDatabase" localSheetId="0" hidden="1">Sheet1!$A$1:$AG$38</definedName>
    <definedName name="ability" localSheetId="2">backup_Sheet1!#REF!</definedName>
    <definedName name="ability" localSheetId="0">Sheet1!#REF!</definedName>
    <definedName name="ability_1" localSheetId="2">backup_Sheet1!#REF!</definedName>
    <definedName name="ability_1" localSheetId="0">Sheet1!#REF!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1" i="17" l="1"/>
  <c r="D131" i="17"/>
  <c r="E129" i="17"/>
  <c r="D129" i="17"/>
  <c r="E127" i="17"/>
  <c r="D127" i="17"/>
  <c r="E125" i="17"/>
  <c r="D125" i="17"/>
  <c r="E123" i="17"/>
  <c r="D123" i="17"/>
  <c r="E121" i="17"/>
  <c r="D121" i="17"/>
  <c r="E119" i="17"/>
  <c r="D119" i="17"/>
  <c r="E117" i="17"/>
  <c r="D117" i="17"/>
  <c r="E115" i="17"/>
  <c r="D115" i="17"/>
  <c r="E113" i="17"/>
  <c r="D113" i="17"/>
  <c r="E111" i="17"/>
  <c r="D111" i="17"/>
  <c r="E109" i="17"/>
  <c r="D109" i="17"/>
  <c r="E107" i="17"/>
  <c r="D107" i="17"/>
  <c r="E105" i="17"/>
  <c r="D105" i="17"/>
  <c r="E103" i="17"/>
  <c r="D103" i="17"/>
  <c r="E101" i="17"/>
  <c r="D101" i="17"/>
  <c r="E99" i="17"/>
  <c r="D99" i="17"/>
  <c r="E97" i="17"/>
  <c r="D97" i="17"/>
  <c r="E95" i="17"/>
  <c r="D95" i="17"/>
  <c r="E93" i="17"/>
  <c r="D93" i="17"/>
  <c r="E91" i="17"/>
  <c r="D91" i="17"/>
  <c r="E89" i="17"/>
  <c r="D89" i="17"/>
  <c r="E87" i="17"/>
  <c r="D87" i="17"/>
  <c r="E85" i="17"/>
  <c r="D85" i="17"/>
  <c r="E83" i="17"/>
  <c r="D83" i="17"/>
  <c r="E81" i="17"/>
  <c r="D81" i="17"/>
  <c r="E79" i="17"/>
  <c r="D79" i="17"/>
  <c r="E77" i="17"/>
  <c r="D77" i="17"/>
  <c r="E75" i="17"/>
  <c r="D75" i="17"/>
  <c r="E73" i="17"/>
  <c r="D73" i="17"/>
  <c r="E71" i="17"/>
  <c r="E69" i="17"/>
  <c r="D69" i="17"/>
  <c r="E67" i="17"/>
  <c r="D67" i="17"/>
  <c r="E65" i="17"/>
  <c r="D65" i="17"/>
  <c r="E63" i="17"/>
  <c r="D63" i="17"/>
  <c r="E61" i="17"/>
  <c r="D61" i="17"/>
  <c r="E59" i="17"/>
  <c r="E57" i="17"/>
  <c r="D57" i="17"/>
  <c r="E55" i="17"/>
  <c r="D55" i="17"/>
  <c r="E53" i="17"/>
  <c r="D53" i="17"/>
  <c r="E51" i="17"/>
  <c r="D51" i="17"/>
  <c r="E49" i="17"/>
  <c r="D49" i="17"/>
  <c r="D47" i="17"/>
  <c r="D45" i="17"/>
  <c r="D43" i="17"/>
  <c r="D41" i="17"/>
  <c r="D39" i="17"/>
  <c r="E21" i="17"/>
  <c r="D21" i="17"/>
  <c r="E19" i="17"/>
  <c r="D19" i="17"/>
  <c r="E17" i="17"/>
  <c r="D17" i="17"/>
  <c r="E15" i="17"/>
  <c r="D15" i="17"/>
  <c r="E13" i="17"/>
  <c r="D13" i="17"/>
  <c r="E11" i="17"/>
  <c r="D11" i="17"/>
  <c r="E9" i="17"/>
  <c r="D9" i="17"/>
  <c r="E7" i="17"/>
  <c r="D7" i="17"/>
  <c r="E5" i="17"/>
  <c r="D5" i="17"/>
  <c r="E3" i="17"/>
  <c r="D3" i="17"/>
  <c r="E123" i="1" l="1"/>
  <c r="E125" i="1"/>
  <c r="E127" i="1"/>
  <c r="E129" i="1"/>
  <c r="E131" i="1"/>
  <c r="D123" i="1"/>
  <c r="D125" i="1"/>
  <c r="D127" i="1"/>
  <c r="D129" i="1"/>
  <c r="D131" i="1"/>
  <c r="E113" i="1" l="1"/>
  <c r="E115" i="1"/>
  <c r="E117" i="1"/>
  <c r="E119" i="1"/>
  <c r="E121" i="1"/>
  <c r="D113" i="1"/>
  <c r="D115" i="1"/>
  <c r="D117" i="1"/>
  <c r="D119" i="1"/>
  <c r="D121" i="1"/>
  <c r="E83" i="1" l="1"/>
  <c r="E85" i="1"/>
  <c r="E87" i="1"/>
  <c r="E89" i="1"/>
  <c r="E91" i="1"/>
  <c r="E93" i="1"/>
  <c r="E95" i="1"/>
  <c r="E97" i="1"/>
  <c r="E99" i="1"/>
  <c r="E101" i="1"/>
  <c r="E103" i="1"/>
  <c r="E105" i="1"/>
  <c r="E107" i="1"/>
  <c r="E109" i="1"/>
  <c r="E111" i="1"/>
  <c r="E73" i="1"/>
  <c r="E75" i="1"/>
  <c r="E77" i="1"/>
  <c r="E79" i="1"/>
  <c r="E81" i="1"/>
  <c r="E61" i="1"/>
  <c r="E63" i="1"/>
  <c r="E65" i="1"/>
  <c r="E67" i="1"/>
  <c r="E69" i="1"/>
  <c r="E71" i="1"/>
  <c r="E59" i="1"/>
  <c r="E51" i="1"/>
  <c r="E53" i="1"/>
  <c r="E55" i="1"/>
  <c r="E57" i="1"/>
  <c r="E49" i="1"/>
  <c r="E13" i="1"/>
  <c r="E15" i="1"/>
  <c r="E17" i="1"/>
  <c r="E19" i="1"/>
  <c r="E21" i="1"/>
  <c r="E5" i="1"/>
  <c r="E7" i="1"/>
  <c r="E9" i="1"/>
  <c r="E11" i="1"/>
  <c r="E3" i="1"/>
  <c r="D103" i="1"/>
  <c r="D105" i="1"/>
  <c r="D107" i="1"/>
  <c r="D109" i="1"/>
  <c r="D111" i="1"/>
  <c r="D93" i="1" l="1"/>
  <c r="D95" i="1"/>
  <c r="D97" i="1"/>
  <c r="D99" i="1"/>
  <c r="D101" i="1"/>
  <c r="D85" i="1" l="1"/>
  <c r="D87" i="1"/>
  <c r="D89" i="1"/>
  <c r="D91" i="1"/>
  <c r="D83" i="1"/>
  <c r="D75" i="1" l="1"/>
  <c r="D77" i="1"/>
  <c r="D79" i="1"/>
  <c r="D81" i="1"/>
  <c r="D73" i="1"/>
  <c r="D63" i="1"/>
  <c r="D65" i="1"/>
  <c r="D67" i="1"/>
  <c r="D69" i="1"/>
  <c r="D61" i="1"/>
  <c r="D49" i="1"/>
  <c r="D51" i="1"/>
  <c r="D53" i="1"/>
  <c r="D55" i="1"/>
  <c r="D57" i="1"/>
  <c r="D41" i="1"/>
  <c r="D43" i="1"/>
  <c r="D45" i="1"/>
  <c r="D47" i="1"/>
  <c r="D39" i="1"/>
  <c r="D13" i="1"/>
  <c r="D15" i="1"/>
  <c r="D17" i="1"/>
  <c r="D19" i="1"/>
  <c r="D21" i="1"/>
  <c r="D7" i="1"/>
  <c r="D9" i="1"/>
  <c r="D11" i="1"/>
  <c r="D5" i="1"/>
  <c r="D3" i="1" l="1"/>
  <c r="H2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4ACDEE-1818-4BF4-AF3A-D71E2E847528}" keepAlive="1" name="查询 - ability" description="与工作簿中“ability”查询的连接。" type="5" refreshedVersion="6" background="1" saveData="1">
    <dbPr connection="Provider=Microsoft.Mashup.OleDb.1;Data Source=$Workbook$;Location=ability;Extended Properties=&quot;&quot;" command="SELECT * FROM [ability]"/>
  </connection>
</connections>
</file>

<file path=xl/sharedStrings.xml><?xml version="1.0" encoding="utf-8"?>
<sst xmlns="http://schemas.openxmlformats.org/spreadsheetml/2006/main" count="2720" uniqueCount="682">
  <si>
    <t>DOTA_ABILITY_BEHAVIOR_PASSIVE</t>
    <phoneticPr fontId="1" type="noConversion"/>
  </si>
  <si>
    <t>AbilityBehavior</t>
    <phoneticPr fontId="1" type="noConversion"/>
  </si>
  <si>
    <t>Tag</t>
    <phoneticPr fontId="1" type="noConversion"/>
  </si>
  <si>
    <t>base</t>
    <phoneticPr fontId="1" type="noConversion"/>
  </si>
  <si>
    <t>技能行为</t>
    <phoneticPr fontId="1" type="noConversion"/>
  </si>
  <si>
    <t>DOTA_ABILITY_BEHAVIOR_UNIT_TARGET</t>
    <phoneticPr fontId="1" type="noConversion"/>
  </si>
  <si>
    <t>基础技能</t>
    <phoneticPr fontId="1" type="noConversion"/>
  </si>
  <si>
    <t>技能标签</t>
    <phoneticPr fontId="1" type="noConversion"/>
  </si>
  <si>
    <t>机甲</t>
    <phoneticPr fontId="1" type="noConversion"/>
  </si>
  <si>
    <t>warframe</t>
    <phoneticPr fontId="1" type="noConversion"/>
  </si>
  <si>
    <t>gunner</t>
    <phoneticPr fontId="1" type="noConversion"/>
  </si>
  <si>
    <t>techie</t>
    <phoneticPr fontId="1" type="noConversion"/>
  </si>
  <si>
    <t>dwarf</t>
    <phoneticPr fontId="1" type="noConversion"/>
  </si>
  <si>
    <t>magician</t>
    <phoneticPr fontId="1" type="noConversion"/>
  </si>
  <si>
    <t>electricity</t>
    <phoneticPr fontId="1" type="noConversion"/>
  </si>
  <si>
    <t>undead</t>
    <phoneticPr fontId="1" type="noConversion"/>
  </si>
  <si>
    <t>prophet</t>
    <phoneticPr fontId="1" type="noConversion"/>
  </si>
  <si>
    <t>terra</t>
    <phoneticPr fontId="1" type="noConversion"/>
  </si>
  <si>
    <t>elementalist</t>
    <phoneticPr fontId="1" type="noConversion"/>
  </si>
  <si>
    <t>fire</t>
    <phoneticPr fontId="1" type="noConversion"/>
  </si>
  <si>
    <t>demon</t>
    <phoneticPr fontId="1" type="noConversion"/>
  </si>
  <si>
    <t>ogre</t>
    <phoneticPr fontId="1" type="noConversion"/>
  </si>
  <si>
    <t>sorcerer</t>
    <phoneticPr fontId="1" type="noConversion"/>
  </si>
  <si>
    <t>knight</t>
    <phoneticPr fontId="1" type="noConversion"/>
  </si>
  <si>
    <t>assassin</t>
    <phoneticPr fontId="1" type="noConversion"/>
  </si>
  <si>
    <t>astral</t>
    <phoneticPr fontId="1" type="noConversion"/>
  </si>
  <si>
    <t>archean</t>
    <phoneticPr fontId="1" type="noConversion"/>
  </si>
  <si>
    <t>protector</t>
    <phoneticPr fontId="1" type="noConversion"/>
  </si>
  <si>
    <t>cleric</t>
    <phoneticPr fontId="1" type="noConversion"/>
  </si>
  <si>
    <t>shaman</t>
    <phoneticPr fontId="1" type="noConversion"/>
  </si>
  <si>
    <t>human</t>
    <phoneticPr fontId="1" type="noConversion"/>
  </si>
  <si>
    <t>ranger</t>
    <phoneticPr fontId="1" type="noConversion"/>
  </si>
  <si>
    <t>hell</t>
    <phoneticPr fontId="1" type="noConversion"/>
  </si>
  <si>
    <t>shadow</t>
    <phoneticPr fontId="1" type="noConversion"/>
  </si>
  <si>
    <t>kobold</t>
    <phoneticPr fontId="1" type="noConversion"/>
  </si>
  <si>
    <t>champion</t>
    <phoneticPr fontId="1" type="noConversion"/>
  </si>
  <si>
    <t>thief</t>
    <phoneticPr fontId="1" type="noConversion"/>
  </si>
  <si>
    <t>laws</t>
    <phoneticPr fontId="1" type="noConversion"/>
  </si>
  <si>
    <t>dragon</t>
    <phoneticPr fontId="1" type="noConversion"/>
  </si>
  <si>
    <t>warlock</t>
    <phoneticPr fontId="1" type="noConversion"/>
  </si>
  <si>
    <t>priests</t>
    <phoneticPr fontId="1" type="noConversion"/>
  </si>
  <si>
    <t>mage</t>
    <phoneticPr fontId="1" type="noConversion"/>
  </si>
  <si>
    <t>monster</t>
    <phoneticPr fontId="1" type="noConversion"/>
  </si>
  <si>
    <t>枪炮手</t>
    <phoneticPr fontId="1" type="noConversion"/>
  </si>
  <si>
    <t>工程师</t>
    <phoneticPr fontId="1" type="noConversion"/>
  </si>
  <si>
    <t>矮人</t>
    <phoneticPr fontId="1" type="noConversion"/>
  </si>
  <si>
    <t>魔法师</t>
    <phoneticPr fontId="1" type="noConversion"/>
  </si>
  <si>
    <t>电元素</t>
    <phoneticPr fontId="1" type="noConversion"/>
  </si>
  <si>
    <t>亡灵</t>
    <phoneticPr fontId="1" type="noConversion"/>
  </si>
  <si>
    <t>先知</t>
    <phoneticPr fontId="1" type="noConversion"/>
  </si>
  <si>
    <t>土元素</t>
    <phoneticPr fontId="1" type="noConversion"/>
  </si>
  <si>
    <t>元素使</t>
    <phoneticPr fontId="1" type="noConversion"/>
  </si>
  <si>
    <t>火元素</t>
    <phoneticPr fontId="1" type="noConversion"/>
  </si>
  <si>
    <t>食人魔</t>
    <phoneticPr fontId="1" type="noConversion"/>
  </si>
  <si>
    <t>战士</t>
    <phoneticPr fontId="1" type="noConversion"/>
  </si>
  <si>
    <t>巫师</t>
    <phoneticPr fontId="1" type="noConversion"/>
  </si>
  <si>
    <t>骑士</t>
    <phoneticPr fontId="1" type="noConversion"/>
  </si>
  <si>
    <t>刺客</t>
    <phoneticPr fontId="1" type="noConversion"/>
  </si>
  <si>
    <t>星界</t>
    <phoneticPr fontId="1" type="noConversion"/>
  </si>
  <si>
    <t>太古</t>
    <phoneticPr fontId="1" type="noConversion"/>
  </si>
  <si>
    <t>护卫</t>
    <phoneticPr fontId="1" type="noConversion"/>
  </si>
  <si>
    <t>祭祀</t>
    <phoneticPr fontId="1" type="noConversion"/>
  </si>
  <si>
    <t>萨满</t>
    <phoneticPr fontId="1" type="noConversion"/>
  </si>
  <si>
    <t>人类</t>
    <phoneticPr fontId="1" type="noConversion"/>
  </si>
  <si>
    <t>游侠</t>
    <phoneticPr fontId="1" type="noConversion"/>
  </si>
  <si>
    <t>恶魔</t>
    <phoneticPr fontId="1" type="noConversion"/>
  </si>
  <si>
    <t>地狱</t>
    <phoneticPr fontId="1" type="noConversion"/>
  </si>
  <si>
    <t>暗影</t>
    <phoneticPr fontId="1" type="noConversion"/>
  </si>
  <si>
    <t>berserker</t>
    <phoneticPr fontId="1" type="noConversion"/>
  </si>
  <si>
    <t>warrior</t>
    <phoneticPr fontId="1" type="noConversion"/>
  </si>
  <si>
    <t>elves</t>
    <phoneticPr fontId="1" type="noConversion"/>
  </si>
  <si>
    <t>banshee</t>
    <phoneticPr fontId="1" type="noConversion"/>
  </si>
  <si>
    <t>golem</t>
    <phoneticPr fontId="1" type="noConversion"/>
  </si>
  <si>
    <t>狂战士</t>
    <phoneticPr fontId="1" type="noConversion"/>
  </si>
  <si>
    <t>精灵</t>
    <phoneticPr fontId="1" type="noConversion"/>
  </si>
  <si>
    <t>女妖</t>
    <phoneticPr fontId="1" type="noConversion"/>
  </si>
  <si>
    <t>魔像</t>
    <phoneticPr fontId="1" type="noConversion"/>
  </si>
  <si>
    <t>狗头人</t>
    <phoneticPr fontId="1" type="noConversion"/>
  </si>
  <si>
    <t>指挥官</t>
    <phoneticPr fontId="1" type="noConversion"/>
  </si>
  <si>
    <t>盗贼</t>
    <phoneticPr fontId="1" type="noConversion"/>
  </si>
  <si>
    <t>法则</t>
    <phoneticPr fontId="1" type="noConversion"/>
  </si>
  <si>
    <t>龙族</t>
    <phoneticPr fontId="1" type="noConversion"/>
  </si>
  <si>
    <t>术士</t>
    <phoneticPr fontId="1" type="noConversion"/>
  </si>
  <si>
    <t>牧师</t>
    <phoneticPr fontId="1" type="noConversion"/>
  </si>
  <si>
    <t>贤者</t>
    <phoneticPr fontId="1" type="noConversion"/>
  </si>
  <si>
    <t>巨兽</t>
    <phoneticPr fontId="1" type="noConversion"/>
  </si>
  <si>
    <t>DOTA_ABILITY_BEHAVIOR_NONE</t>
    <phoneticPr fontId="1" type="noConversion"/>
  </si>
  <si>
    <t>DOTA_ABILITY_BEHAVIOR_HIDDEN</t>
    <phoneticPr fontId="1" type="noConversion"/>
  </si>
  <si>
    <t>DOTA_ABILITY_BEHAVIOR_NO_TARGET</t>
    <phoneticPr fontId="1" type="noConversion"/>
  </si>
  <si>
    <t>DOTA_ABILITY_BEHAVIOR_POINT</t>
    <phoneticPr fontId="1" type="noConversion"/>
  </si>
  <si>
    <t>DOTA_ABILITY_BEHAVIOR_NOT_LEARNABLE</t>
  </si>
  <si>
    <t>DOTA_ABILITY_BEHAVIOR_ITEM</t>
  </si>
  <si>
    <t>DOTA_ABILITY_BEHAVIOR_AURA</t>
  </si>
  <si>
    <t>DOTA_ABILITY_BEHAVIOR_ATTACK</t>
  </si>
  <si>
    <t>DOTA_ABILITY_BEHAVIOR_DONT_RESUME_ATTACK</t>
  </si>
  <si>
    <t>DOTA_ABILITY_BEHAVIOR_NORMAL_WHEN_STOLEN</t>
  </si>
  <si>
    <t>DOTA_ABILITY_BEHAVIOR_RUNE_TARGET</t>
  </si>
  <si>
    <t>DOTA_ABILITY_LAST_BEHAVIOR</t>
  </si>
  <si>
    <t>无</t>
  </si>
  <si>
    <t>DOTA_ABILITY_BEHAVIOR_DONT_RESUME_MOVEMENT</t>
    <phoneticPr fontId="1" type="noConversion"/>
  </si>
  <si>
    <t>DOTA_ABILITY_BEHAVIOR_IGNORE_PSEUDO_QUEUE</t>
    <phoneticPr fontId="1" type="noConversion"/>
  </si>
  <si>
    <t>DOTA_ABILITY_BEHAVIOR_DONT_ALERT_TARGET</t>
    <phoneticPr fontId="1" type="noConversion"/>
  </si>
  <si>
    <t>隐藏</t>
  </si>
  <si>
    <t>被动</t>
  </si>
  <si>
    <t>无目标</t>
  </si>
  <si>
    <t>单位目标</t>
  </si>
  <si>
    <t>点目标</t>
  </si>
  <si>
    <t>范围指示</t>
  </si>
  <si>
    <t>不能学习</t>
  </si>
  <si>
    <t>持续施法</t>
  </si>
  <si>
    <t>物品</t>
  </si>
  <si>
    <t>切换</t>
  </si>
  <si>
    <t>立即施放</t>
  </si>
  <si>
    <t>自动施法</t>
  </si>
  <si>
    <t>可选单位目标</t>
  </si>
  <si>
    <t>可选点目标</t>
  </si>
  <si>
    <t>可选无目标</t>
  </si>
  <si>
    <t>光环</t>
  </si>
  <si>
    <t>攻击</t>
  </si>
  <si>
    <t>不恢复移动</t>
  </si>
  <si>
    <t>缠绕禁用</t>
  </si>
  <si>
    <t>无限制</t>
  </si>
  <si>
    <t>忽略持续施法</t>
  </si>
  <si>
    <t>不取消移动</t>
  </si>
  <si>
    <t>不惊醒目标</t>
  </si>
  <si>
    <t>不恢复攻击</t>
  </si>
  <si>
    <t>偷取</t>
  </si>
  <si>
    <t>忽略后摇</t>
  </si>
  <si>
    <t>神符目标</t>
  </si>
  <si>
    <t>不取消持续施法</t>
  </si>
  <si>
    <t>末尾标记</t>
  </si>
  <si>
    <t>DOTA_ABILITY_BEHAVIOR_DIRECTIONAL</t>
    <phoneticPr fontId="1" type="noConversion"/>
  </si>
  <si>
    <t>指向</t>
    <phoneticPr fontId="1" type="noConversion"/>
  </si>
  <si>
    <t>DOTA_ABILITY_BEHAVIOR_OPTIONAL_UNIT_TARGET</t>
    <phoneticPr fontId="1" type="noConversion"/>
  </si>
  <si>
    <t>DOTA_ABILITY_BEHAVIOR_OPTIONAL_POINT</t>
    <phoneticPr fontId="1" type="noConversion"/>
  </si>
  <si>
    <t>DOTA_ABILITY_BEHAVIOR_OPTIONAL_NO_TARGET</t>
    <phoneticPr fontId="1" type="noConversion"/>
  </si>
  <si>
    <t>DOTA_ABILITY_BEHAVIOR_ROOT_DISABLES</t>
    <phoneticPr fontId="1" type="noConversion"/>
  </si>
  <si>
    <t>DOTA_ABILITY_BEHAVIOR_UNRESTRICTED</t>
    <phoneticPr fontId="1" type="noConversion"/>
  </si>
  <si>
    <t>忽略指令队列</t>
    <phoneticPr fontId="1" type="noConversion"/>
  </si>
  <si>
    <t>DOTA_ABILITY_BEHAVIOR_DONT_CANCEL_MOVEMENT</t>
    <phoneticPr fontId="1" type="noConversion"/>
  </si>
  <si>
    <t>bionic</t>
    <phoneticPr fontId="1" type="noConversion"/>
  </si>
  <si>
    <t>常用公式</t>
    <phoneticPr fontId="1" type="noConversion"/>
  </si>
  <si>
    <t>说明</t>
    <phoneticPr fontId="1" type="noConversion"/>
  </si>
  <si>
    <t>脚本路径生成</t>
    <phoneticPr fontId="1" type="noConversion"/>
  </si>
  <si>
    <t>铆钉城</t>
    <phoneticPr fontId="1" type="noConversion"/>
  </si>
  <si>
    <t>设定</t>
    <phoneticPr fontId="1" type="noConversion"/>
  </si>
  <si>
    <t>技能标签列数</t>
    <phoneticPr fontId="1" type="noConversion"/>
  </si>
  <si>
    <t>J</t>
    <phoneticPr fontId="1" type="noConversion"/>
  </si>
  <si>
    <t>Tag列数</t>
    <phoneticPr fontId="1" type="noConversion"/>
  </si>
  <si>
    <t>I</t>
    <phoneticPr fontId="1" type="noConversion"/>
  </si>
  <si>
    <t>abilities/spell/sp_revolt</t>
  </si>
  <si>
    <t>DOTA_ABILITY_BEHAVIOR_CHANNELLED</t>
    <phoneticPr fontId="1" type="noConversion"/>
  </si>
  <si>
    <t>AbilityType</t>
    <phoneticPr fontId="1" type="noConversion"/>
  </si>
  <si>
    <t>DOTA_ABILITY_TYPE_ULTIMATE</t>
  </si>
  <si>
    <t>DOTA_ABILITY_TYPE_ATTRIBUTES</t>
  </si>
  <si>
    <t>DOTA_ABILITY_TYPE_BASIC</t>
  </si>
  <si>
    <t>DOTA_ABILITY_TYPE_HIDDEN</t>
  </si>
  <si>
    <t>技能名</t>
    <phoneticPr fontId="1" type="noConversion"/>
  </si>
  <si>
    <t>备注</t>
    <phoneticPr fontId="1" type="noConversion"/>
  </si>
  <si>
    <t>基类</t>
    <phoneticPr fontId="1" type="noConversion"/>
  </si>
  <si>
    <t>脚本</t>
    <phoneticPr fontId="1" type="noConversion"/>
  </si>
  <si>
    <t>技能图标</t>
    <phoneticPr fontId="1" type="noConversion"/>
  </si>
  <si>
    <t>技能类型</t>
    <phoneticPr fontId="1" type="noConversion"/>
  </si>
  <si>
    <t>最大等级</t>
    <phoneticPr fontId="1" type="noConversion"/>
  </si>
  <si>
    <t>需求等级</t>
    <phoneticPr fontId="1" type="noConversion"/>
  </si>
  <si>
    <t>升级间隔</t>
    <phoneticPr fontId="1" type="noConversion"/>
  </si>
  <si>
    <t>施法动作</t>
    <phoneticPr fontId="1" type="noConversion"/>
  </si>
  <si>
    <t>施法距离</t>
    <phoneticPr fontId="1" type="noConversion"/>
  </si>
  <si>
    <t>施法前摇</t>
    <phoneticPr fontId="1" type="noConversion"/>
  </si>
  <si>
    <t>能量点</t>
    <phoneticPr fontId="1" type="noConversion"/>
  </si>
  <si>
    <t>能量点恢复时间</t>
    <phoneticPr fontId="1" type="noConversion"/>
  </si>
  <si>
    <t>冷却时间</t>
    <phoneticPr fontId="1" type="noConversion"/>
  </si>
  <si>
    <t>是否有神杖</t>
    <phoneticPr fontId="1" type="noConversion"/>
  </si>
  <si>
    <t>魔法消耗</t>
    <phoneticPr fontId="1" type="noConversion"/>
  </si>
  <si>
    <t>持续施法时间</t>
    <phoneticPr fontId="1" type="noConversion"/>
  </si>
  <si>
    <t>技能目标队伍</t>
    <phoneticPr fontId="1" type="noConversion"/>
  </si>
  <si>
    <t>技能目标类型</t>
    <phoneticPr fontId="1" type="noConversion"/>
  </si>
  <si>
    <t>技能目标标记</t>
    <phoneticPr fontId="1" type="noConversion"/>
  </si>
  <si>
    <t>伤害类型</t>
    <phoneticPr fontId="1" type="noConversion"/>
  </si>
  <si>
    <t>无视魔免</t>
    <phoneticPr fontId="1" type="noConversion"/>
  </si>
  <si>
    <t>键值</t>
    <phoneticPr fontId="1" type="noConversion"/>
  </si>
  <si>
    <t>Name</t>
    <phoneticPr fontId="1" type="noConversion"/>
  </si>
  <si>
    <t>BaseClass</t>
    <phoneticPr fontId="1" type="noConversion"/>
  </si>
  <si>
    <t>ScriptFile</t>
    <phoneticPr fontId="1" type="noConversion"/>
  </si>
  <si>
    <t>AbilityTextureName</t>
    <phoneticPr fontId="1" type="noConversion"/>
  </si>
  <si>
    <t>MaxLevel</t>
    <phoneticPr fontId="1" type="noConversion"/>
  </si>
  <si>
    <t>RequiredLevel</t>
    <phoneticPr fontId="1" type="noConversion"/>
  </si>
  <si>
    <t>LevelsBetweenUpgrades</t>
    <phoneticPr fontId="1" type="noConversion"/>
  </si>
  <si>
    <t>AbilityCastAnimation</t>
    <phoneticPr fontId="1" type="noConversion"/>
  </si>
  <si>
    <t>AbilityCastRange</t>
    <phoneticPr fontId="1" type="noConversion"/>
  </si>
  <si>
    <t>AbilityCastPoint</t>
    <phoneticPr fontId="1" type="noConversion"/>
  </si>
  <si>
    <t>AbilityCharges</t>
    <phoneticPr fontId="1" type="noConversion"/>
  </si>
  <si>
    <t>AbilityChargeRestoreTime</t>
    <phoneticPr fontId="1" type="noConversion"/>
  </si>
  <si>
    <t>AbilityCooldown</t>
    <phoneticPr fontId="1" type="noConversion"/>
  </si>
  <si>
    <t>HasScepterUpgrade</t>
    <phoneticPr fontId="1" type="noConversion"/>
  </si>
  <si>
    <t>AbilityManaCost</t>
    <phoneticPr fontId="1" type="noConversion"/>
  </si>
  <si>
    <t>AbilityChannelTime</t>
    <phoneticPr fontId="1" type="noConversion"/>
  </si>
  <si>
    <t>AbilityUnitTargetTeam</t>
    <phoneticPr fontId="1" type="noConversion"/>
  </si>
  <si>
    <t>AbilityUnitTargetType</t>
    <phoneticPr fontId="1" type="noConversion"/>
  </si>
  <si>
    <t>AbilityUnitTargetFlags</t>
    <phoneticPr fontId="1" type="noConversion"/>
  </si>
  <si>
    <t>AbilityUnitDamageType</t>
    <phoneticPr fontId="1" type="noConversion"/>
  </si>
  <si>
    <t>SpellImmunityType</t>
    <phoneticPr fontId="1" type="noConversion"/>
  </si>
  <si>
    <t>AbilitySpecial</t>
    <phoneticPr fontId="1" type="noConversion"/>
  </si>
  <si>
    <t>omniknight_0</t>
    <phoneticPr fontId="1" type="noConversion"/>
  </si>
  <si>
    <t>雷霆动力</t>
    <phoneticPr fontId="1" type="noConversion"/>
  </si>
  <si>
    <t>ability_lua</t>
    <phoneticPr fontId="1" type="noConversion"/>
  </si>
  <si>
    <t>DOTA_ABILITY_TYPE_BASIC</t>
    <phoneticPr fontId="1" type="noConversion"/>
  </si>
  <si>
    <t>DOTA_ABILITY_BEHAVIOR_PASSIVE| DOTA_ABILITY_BEHAVIOR_NOT_LEARNABLE</t>
    <phoneticPr fontId="1" type="noConversion"/>
  </si>
  <si>
    <t>DOTA_UNIT_TARGET_TEAM_ENEMY</t>
    <phoneticPr fontId="1" type="noConversion"/>
  </si>
  <si>
    <t>DOTA_UNIT_TARGET_HERO | DOTA_UNIT_TARGET_BASIC</t>
    <phoneticPr fontId="1" type="noConversion"/>
  </si>
  <si>
    <t>DAMAGE_TYPE_MAGICAL</t>
    <phoneticPr fontId="1" type="noConversion"/>
  </si>
  <si>
    <t>stun_duration</t>
    <phoneticPr fontId="1" type="noConversion"/>
  </si>
  <si>
    <t>chance</t>
    <phoneticPr fontId="1" type="noConversion"/>
  </si>
  <si>
    <t>str_factor</t>
    <phoneticPr fontId="1" type="noConversion"/>
  </si>
  <si>
    <t>scepter_radius</t>
    <phoneticPr fontId="1" type="noConversion"/>
  </si>
  <si>
    <t>omniknight_1</t>
    <phoneticPr fontId="1" type="noConversion"/>
  </si>
  <si>
    <t>雷霆一击</t>
    <phoneticPr fontId="1" type="noConversion"/>
  </si>
  <si>
    <t>ACT_DOTA_ATTACK</t>
    <phoneticPr fontId="1" type="noConversion"/>
  </si>
  <si>
    <t>120 140 160 180 200 220 240 260 280 300 320 340 360 380 400 420 440 460 480 500</t>
    <phoneticPr fontId="1" type="noConversion"/>
  </si>
  <si>
    <t>base_damage</t>
    <phoneticPr fontId="1" type="noConversion"/>
  </si>
  <si>
    <t>radius</t>
    <phoneticPr fontId="1" type="noConversion"/>
  </si>
  <si>
    <t>max_charges</t>
    <phoneticPr fontId="1" type="noConversion"/>
  </si>
  <si>
    <t>charge_restore_time</t>
    <phoneticPr fontId="1" type="noConversion"/>
  </si>
  <si>
    <t>scepter_charges</t>
    <phoneticPr fontId="1" type="noConversion"/>
  </si>
  <si>
    <t>omniknight_2</t>
    <phoneticPr fontId="1" type="noConversion"/>
  </si>
  <si>
    <t>治疗装置</t>
    <phoneticPr fontId="1" type="noConversion"/>
  </si>
  <si>
    <t>ACT_DOTA_CAST_ABILITY_2</t>
    <phoneticPr fontId="1" type="noConversion"/>
  </si>
  <si>
    <t>DOTA_UNIT_TARGET_TEAM_FRIENDLY</t>
    <phoneticPr fontId="1" type="noConversion"/>
  </si>
  <si>
    <t>scepter_jump</t>
    <phoneticPr fontId="1" type="noConversion"/>
  </si>
  <si>
    <t>health_regen</t>
    <phoneticPr fontId="1" type="noConversion"/>
  </si>
  <si>
    <t>mana_regen</t>
    <phoneticPr fontId="1" type="noConversion"/>
  </si>
  <si>
    <t>health_regen_pct</t>
    <phoneticPr fontId="1" type="noConversion"/>
  </si>
  <si>
    <t>duration</t>
    <phoneticPr fontId="1" type="noConversion"/>
  </si>
  <si>
    <t>scepter_interval</t>
    <phoneticPr fontId="1" type="noConversion"/>
  </si>
  <si>
    <t>scepter_count</t>
    <phoneticPr fontId="1" type="noConversion"/>
  </si>
  <si>
    <t>scepter_damage</t>
    <phoneticPr fontId="1" type="noConversion"/>
  </si>
  <si>
    <t>omniknight_3</t>
    <phoneticPr fontId="1" type="noConversion"/>
  </si>
  <si>
    <t>举重</t>
    <phoneticPr fontId="1" type="noConversion"/>
  </si>
  <si>
    <t>bonus_attackspeed</t>
    <phoneticPr fontId="1" type="noConversion"/>
  </si>
  <si>
    <t>bonus_str</t>
    <phoneticPr fontId="1" type="noConversion"/>
  </si>
  <si>
    <t>bonus_chance</t>
    <phoneticPr fontId="1" type="noConversion"/>
  </si>
  <si>
    <t>bonus_str_factor</t>
    <phoneticPr fontId="1" type="noConversion"/>
  </si>
  <si>
    <t>attack_count</t>
    <phoneticPr fontId="1" type="noConversion"/>
  </si>
  <si>
    <t>omniknight_4</t>
    <phoneticPr fontId="1" type="noConversion"/>
  </si>
  <si>
    <t>风暴屏障</t>
    <phoneticPr fontId="1" type="noConversion"/>
  </si>
  <si>
    <t>DOTA_ABILITY_TYPE_ULTIMATE</t>
    <phoneticPr fontId="1" type="noConversion"/>
  </si>
  <si>
    <t>DOTA_ABILITY_BEHAVIOR_IMMEDIATE | DOTA_ABILITY_BEHAVIOR_TOGGLE</t>
    <phoneticPr fontId="1" type="noConversion"/>
  </si>
  <si>
    <t>palsy_radius</t>
    <phoneticPr fontId="1" type="noConversion"/>
  </si>
  <si>
    <t>storm_str_damage</t>
    <phoneticPr fontId="1" type="noConversion"/>
  </si>
  <si>
    <t>storm_jump_count</t>
    <phoneticPr fontId="1" type="noConversion"/>
  </si>
  <si>
    <t>storm_chance</t>
    <phoneticPr fontId="1" type="noConversion"/>
  </si>
  <si>
    <t>bonus_movespeed</t>
    <phoneticPr fontId="1" type="noConversion"/>
  </si>
  <si>
    <t>bonus_resistance</t>
    <phoneticPr fontId="1" type="noConversion"/>
  </si>
  <si>
    <t>bonus_amp_percent</t>
    <phoneticPr fontId="1" type="noConversion"/>
  </si>
  <si>
    <t>mana_cost</t>
    <phoneticPr fontId="1" type="noConversion"/>
  </si>
  <si>
    <t>palsy_attackspeed</t>
    <phoneticPr fontId="1" type="noConversion"/>
  </si>
  <si>
    <t>palsy_movespeed</t>
    <phoneticPr fontId="1" type="noConversion"/>
  </si>
  <si>
    <t>palsy_duration</t>
    <phoneticPr fontId="1" type="noConversion"/>
  </si>
  <si>
    <t>palsy_interval</t>
    <phoneticPr fontId="1" type="noConversion"/>
  </si>
  <si>
    <t>45 60 75 90 105 120 135 150</t>
    <phoneticPr fontId="1" type="noConversion"/>
  </si>
  <si>
    <t>10 12 14 16 18 20 22 24</t>
    <phoneticPr fontId="1" type="noConversion"/>
  </si>
  <si>
    <t>100 125 150 175 200 225 250 275</t>
    <phoneticPr fontId="1" type="noConversion"/>
  </si>
  <si>
    <t>10 20 30 40 50 60 70 80</t>
    <phoneticPr fontId="1" type="noConversion"/>
  </si>
  <si>
    <t>templar_assassin_0</t>
    <phoneticPr fontId="1" type="noConversion"/>
  </si>
  <si>
    <t>魅隐</t>
    <phoneticPr fontId="1" type="noConversion"/>
  </si>
  <si>
    <t>DOTA_ABILITY_BEHAVIOR_IMMEDIATE | DOTA_ABILITY_BEHAVIOR_NO_TARGET | DOTA_ABILITY_BEHAVIOR_NOT_LEARNABLE | DOTA_ABILITY_BEHAVIOR_AUTOCAST</t>
    <phoneticPr fontId="1" type="noConversion"/>
  </si>
  <si>
    <t>cost_pct_per_stack</t>
    <phoneticPr fontId="1" type="noConversion"/>
  </si>
  <si>
    <t>templar_assassin_1</t>
    <phoneticPr fontId="1" type="noConversion"/>
  </si>
  <si>
    <t>散华</t>
    <phoneticPr fontId="1" type="noConversion"/>
  </si>
  <si>
    <t>damage</t>
    <phoneticPr fontId="1" type="noConversion"/>
  </si>
  <si>
    <t>health_pct</t>
    <phoneticPr fontId="1" type="noConversion"/>
  </si>
  <si>
    <t>angle</t>
    <phoneticPr fontId="1" type="noConversion"/>
  </si>
  <si>
    <t>distance</t>
    <phoneticPr fontId="1" type="noConversion"/>
  </si>
  <si>
    <t>speed</t>
    <phoneticPr fontId="1" type="noConversion"/>
  </si>
  <si>
    <t>bonus_pct</t>
    <phoneticPr fontId="1" type="noConversion"/>
  </si>
  <si>
    <t>templar_assassin_2</t>
    <phoneticPr fontId="1" type="noConversion"/>
  </si>
  <si>
    <t>神引</t>
    <phoneticPr fontId="1" type="noConversion"/>
  </si>
  <si>
    <t>DOTA_ABILITY_BEHAVIOR_UNIT_TARGET | DOTA_ABILITY_BEHAVIOR_POINT</t>
    <phoneticPr fontId="1" type="noConversion"/>
  </si>
  <si>
    <t>movespeed</t>
    <phoneticPr fontId="1" type="noConversion"/>
  </si>
  <si>
    <t>scepter_refresh_chance</t>
    <phoneticPr fontId="1" type="noConversion"/>
  </si>
  <si>
    <t>templar_assassin_3</t>
    <phoneticPr fontId="1" type="noConversion"/>
  </si>
  <si>
    <t>灵刃</t>
    <phoneticPr fontId="1" type="noConversion"/>
  </si>
  <si>
    <t>bonus_attack_range</t>
    <phoneticPr fontId="1" type="noConversion"/>
  </si>
  <si>
    <t>scepter_stun_duration</t>
    <phoneticPr fontId="1" type="noConversion"/>
  </si>
  <si>
    <t>resistance</t>
    <phoneticPr fontId="1" type="noConversion"/>
  </si>
  <si>
    <t>damage_tick</t>
    <phoneticPr fontId="1" type="noConversion"/>
  </si>
  <si>
    <t>active_radius</t>
    <phoneticPr fontId="1" type="noConversion"/>
  </si>
  <si>
    <t>active_duration</t>
    <phoneticPr fontId="1" type="noConversion"/>
  </si>
  <si>
    <t>delay</t>
    <phoneticPr fontId="1" type="noConversion"/>
  </si>
  <si>
    <t>templar_assassin_4</t>
    <phoneticPr fontId="1" type="noConversion"/>
  </si>
  <si>
    <t>天幕</t>
    <phoneticPr fontId="1" type="noConversion"/>
  </si>
  <si>
    <t>mana_cost_pct</t>
    <phoneticPr fontId="1" type="noConversion"/>
  </si>
  <si>
    <t>turn_rate</t>
    <phoneticPr fontId="1" type="noConversion"/>
  </si>
  <si>
    <t>scepter_chance</t>
    <phoneticPr fontId="1" type="noConversion"/>
  </si>
  <si>
    <t>drow_ranger_0_1</t>
    <phoneticPr fontId="1" type="noConversion"/>
  </si>
  <si>
    <t>abilities/heroes/drow_ranger/drow_ranger_0_1</t>
    <phoneticPr fontId="1" type="noConversion"/>
  </si>
  <si>
    <t>drow_ranger_frost_arrows</t>
    <phoneticPr fontId="1" type="noConversion"/>
  </si>
  <si>
    <t>DOTA_ABILITY_BEHAVIOR_IMMEDIATE | DOTA_ABILITY_BEHAVIOR_NO_TARGET | DOTA_ABILITY_BEHAVIOR_NOT_LEARNABLE</t>
    <phoneticPr fontId="1" type="noConversion"/>
  </si>
  <si>
    <t>agi_damage</t>
    <phoneticPr fontId="1" type="noConversion"/>
  </si>
  <si>
    <t>agi_damage_increase</t>
    <phoneticPr fontId="1" type="noConversion"/>
  </si>
  <si>
    <t>drow_ranger_0_2</t>
    <phoneticPr fontId="1" type="noConversion"/>
  </si>
  <si>
    <t>abilities/heroes/drow_ranger/drow_ranger_0_2</t>
    <phoneticPr fontId="1" type="noConversion"/>
  </si>
  <si>
    <t>DOTA_ABILITY_BEHAVIOR_IMMEDIATE | DOTA_ABILITY_BEHAVIOR_NO_TARGET | DOTA_ABILITY_BEHAVIOR_NOT_LEARNABLE | DOTA_ABILITY_BEHAVIOR_HIDDEN</t>
    <phoneticPr fontId="1" type="noConversion"/>
  </si>
  <si>
    <t>agi_factor</t>
    <phoneticPr fontId="1" type="noConversion"/>
  </si>
  <si>
    <t>drow_ranger_1_1</t>
    <phoneticPr fontId="1" type="noConversion"/>
  </si>
  <si>
    <t>abilities/heroes/drow_ranger/drow_ranger_1_1</t>
    <phoneticPr fontId="1" type="noConversion"/>
  </si>
  <si>
    <t>ACT_DOTA_CAST_ABILITY_3</t>
    <phoneticPr fontId="1" type="noConversion"/>
  </si>
  <si>
    <t>60 70 80 90 100 110 120 130 140 150 160 170 180 190 200 210 220 230 240 250</t>
    <phoneticPr fontId="1" type="noConversion"/>
  </si>
  <si>
    <t>DOTA_ABILITY_BEHAVIOR_POINT | DOTA_ABILITY_BEHAVIOR_AOE</t>
    <phoneticPr fontId="1" type="noConversion"/>
  </si>
  <si>
    <t>arrows_per_sec</t>
    <phoneticPr fontId="1" type="noConversion"/>
  </si>
  <si>
    <t>cooldown</t>
    <phoneticPr fontId="1" type="noConversion"/>
  </si>
  <si>
    <t>agility_damage</t>
    <phoneticPr fontId="1" type="noConversion"/>
  </si>
  <si>
    <t>movespeed_reduce</t>
    <phoneticPr fontId="1" type="noConversion"/>
  </si>
  <si>
    <t>reduce_duration</t>
    <phoneticPr fontId="1" type="noConversion"/>
  </si>
  <si>
    <t>collision_radius</t>
    <phoneticPr fontId="1" type="noConversion"/>
  </si>
  <si>
    <t>drow_ranger_1_2</t>
    <phoneticPr fontId="1" type="noConversion"/>
  </si>
  <si>
    <t>abilities/heroes/drow_ranger/drow_ranger_1_2</t>
    <phoneticPr fontId="1" type="noConversion"/>
  </si>
  <si>
    <t>DOTA_ABILITY_BEHAVIOR_IMMEDIATE | DOTA_ABILITY_BEHAVIOR_NO_TARGET | DOTA_ABILITY_BEHAVIOR_HIDDEN</t>
    <phoneticPr fontId="1" type="noConversion"/>
  </si>
  <si>
    <t>count</t>
    <phoneticPr fontId="1" type="noConversion"/>
  </si>
  <si>
    <t>attack_factor</t>
    <phoneticPr fontId="1" type="noConversion"/>
  </si>
  <si>
    <t>interval</t>
    <phoneticPr fontId="1" type="noConversion"/>
  </si>
  <si>
    <t>drow_ranger_3_1</t>
    <phoneticPr fontId="1" type="noConversion"/>
  </si>
  <si>
    <t>abilities/heroes/drow_ranger/drow_ranger_3_1</t>
    <phoneticPr fontId="1" type="noConversion"/>
  </si>
  <si>
    <t>drow_ranger_marksmanship</t>
    <phoneticPr fontId="1" type="noConversion"/>
  </si>
  <si>
    <t>DAMAGE_TYPE_PURE</t>
    <phoneticPr fontId="1" type="noConversion"/>
  </si>
  <si>
    <t>require_count</t>
    <phoneticPr fontId="1" type="noConversion"/>
  </si>
  <si>
    <t>curse_duration</t>
    <phoneticPr fontId="1" type="noConversion"/>
  </si>
  <si>
    <t>drow_ranger_3_2</t>
    <phoneticPr fontId="1" type="noConversion"/>
  </si>
  <si>
    <t>abilities/heroes/drow_ranger/drow_ranger_3_2</t>
    <phoneticPr fontId="1" type="noConversion"/>
  </si>
  <si>
    <t>DOTA_ABILITY_BEHAVIOR_PASSIVE | DOTA_ABILITY_BEHAVIOR_HIDDEN</t>
    <phoneticPr fontId="1" type="noConversion"/>
  </si>
  <si>
    <t>extra_agi_damage</t>
    <phoneticPr fontId="1" type="noConversion"/>
  </si>
  <si>
    <t>agi_percent</t>
    <phoneticPr fontId="1" type="noConversion"/>
  </si>
  <si>
    <t>debuff_duration</t>
    <phoneticPr fontId="1" type="noConversion"/>
  </si>
  <si>
    <t>drow_ranger_2_1</t>
    <phoneticPr fontId="1" type="noConversion"/>
  </si>
  <si>
    <t>drow_ranger_2_2</t>
    <phoneticPr fontId="1" type="noConversion"/>
  </si>
  <si>
    <t>abilities/heroes/drow_ranger/drow_ranger_2_2</t>
    <phoneticPr fontId="1" type="noConversion"/>
  </si>
  <si>
    <t>abilities/heroes/drow_ranger/drow_ranger_2_1</t>
    <phoneticPr fontId="1" type="noConversion"/>
  </si>
  <si>
    <t>冰箭</t>
    <phoneticPr fontId="1" type="noConversion"/>
  </si>
  <si>
    <t>60 120 180 240 300 360 420 480</t>
    <phoneticPr fontId="1" type="noConversion"/>
  </si>
  <si>
    <t>40 80 120 160 200 240 280 320 360 400 440 480 520 560 600 640 680 720 760 800</t>
    <phoneticPr fontId="1" type="noConversion"/>
  </si>
  <si>
    <t>20 40 60 80 100 120 140 160 180 200 220 240 260 280 300 320 340 360 380 400</t>
    <phoneticPr fontId="1" type="noConversion"/>
  </si>
  <si>
    <t>60 120 180 240 300 360 420 480 540 600 660 720 780 840 900 960 1020 1080 1140 1200</t>
    <phoneticPr fontId="1" type="noConversion"/>
  </si>
  <si>
    <t>200 400 600 800 1000 1200 1400 1600</t>
    <phoneticPr fontId="1" type="noConversion"/>
  </si>
  <si>
    <t>50 100 150 200 250 300 350 400 450 500 550 600 650 700 750 800 850 900 950 1000</t>
    <phoneticPr fontId="1" type="noConversion"/>
  </si>
  <si>
    <t>250 500 750 1000 1250 1500 1750 2000 2250 2500 2750 3000 3250 3500 3750 4000 4250 4500 4750 5000</t>
    <phoneticPr fontId="1" type="noConversion"/>
  </si>
  <si>
    <t>100 200 300 400 500 600 700 800 900 1000 1100 1200 1300 1400 1500 1600 1700 1800 1900 2000</t>
    <phoneticPr fontId="1" type="noConversion"/>
  </si>
  <si>
    <t>400 800 1200 1600 2000 2400 2800 3200</t>
    <phoneticPr fontId="1" type="noConversion"/>
  </si>
  <si>
    <t>2 4 6 8 10 12 14 16 18 20 22 24 26 28 30 32 34 36 38 40</t>
    <phoneticPr fontId="1" type="noConversion"/>
  </si>
  <si>
    <t>10 20 30 40 50 60 70 80 90 100 110 120 130 140 150 160 170 180 190 200</t>
    <phoneticPr fontId="1" type="noConversion"/>
  </si>
  <si>
    <t>3 6 9 12 15 18 21 24 27 30 33 36 39 42 45 48 51 54 57 60</t>
    <phoneticPr fontId="1" type="noConversion"/>
  </si>
  <si>
    <t>2 4 6 8 10 12 14 16</t>
    <phoneticPr fontId="1" type="noConversion"/>
  </si>
  <si>
    <t>4 8 12 16 20 24 28 32 36 40 44 48 52 56 60 64 68 72 76 80</t>
    <phoneticPr fontId="1" type="noConversion"/>
  </si>
  <si>
    <t>0.5 1 1.5 2 2.5 3 3.5 4 4.5 5 5.5 6 6.5 7 7.5 8 8.5 9 9.5 10</t>
    <phoneticPr fontId="1" type="noConversion"/>
  </si>
  <si>
    <t>61 62 63 64 65 66 67 68 69 70 71 72 73 74 75 76 77 78 79 80</t>
    <phoneticPr fontId="1" type="noConversion"/>
  </si>
  <si>
    <t>1 2 3 4 5 6 7 8 9 10 11 12 13 14 15 16 17 18 19 20</t>
    <phoneticPr fontId="1" type="noConversion"/>
  </si>
  <si>
    <t>5 10 15 20 25 30 35 40 45 50 55 60 65 70 75 80 85 90 95 100</t>
    <phoneticPr fontId="1" type="noConversion"/>
  </si>
  <si>
    <t>drow_ranger_0</t>
    <phoneticPr fontId="1" type="noConversion"/>
  </si>
  <si>
    <t>drow_ranger_1</t>
    <phoneticPr fontId="1" type="noConversion"/>
  </si>
  <si>
    <t>drow_ranger_2</t>
    <phoneticPr fontId="1" type="noConversion"/>
  </si>
  <si>
    <t>drow_ranger_3</t>
    <phoneticPr fontId="1" type="noConversion"/>
  </si>
  <si>
    <t>惊世一箭</t>
    <phoneticPr fontId="1" type="noConversion"/>
  </si>
  <si>
    <t>drow_ranger_marksmanship_ti9</t>
    <phoneticPr fontId="1" type="noConversion"/>
  </si>
  <si>
    <t>120 240 360 480 600 720 840 960</t>
    <phoneticPr fontId="1" type="noConversion"/>
  </si>
  <si>
    <t>broke_damage</t>
    <phoneticPr fontId="1" type="noConversion"/>
  </si>
  <si>
    <t>DAMAGE_TYPE_PHYSICAL</t>
    <phoneticPr fontId="1" type="noConversion"/>
  </si>
  <si>
    <t>attack_damage</t>
    <phoneticPr fontId="1" type="noConversion"/>
  </si>
  <si>
    <t>0.1 0.2 0.3 0.4 0.5 0.6 0.7 0.8 0.9 1 1.1 1.2 1.3 1.4 1.5 1.6 1.7 1.8 1.9 2</t>
    <phoneticPr fontId="1" type="noConversion"/>
  </si>
  <si>
    <t>25 50 75 100 125 150 175 200 225 250 275 300 325 350 375 400 425 450 475 500</t>
    <phoneticPr fontId="1" type="noConversion"/>
  </si>
  <si>
    <t>0.25 0.5 0.75 1 1.25 1.5 1.75 2 2.25 2.5 2.75 3 3.25 3.5 3.75 4 4.25 4.5 4.75 5</t>
    <phoneticPr fontId="1" type="noConversion"/>
  </si>
  <si>
    <t>DOTA_ABILITY_BEHAVIOR_IMMEDIATE | DOTA_ABILITY_BEHAVIOR_NO_TARGET</t>
    <phoneticPr fontId="1" type="noConversion"/>
  </si>
  <si>
    <t>drow_ranger_4</t>
    <phoneticPr fontId="1" type="noConversion"/>
  </si>
  <si>
    <t>DOTA_ABILITY_BEHAVIOR_PASSIVE | DOTA_ABILITY_BEHAVIOR_NOT_LEARNABLE</t>
    <phoneticPr fontId="1" type="noConversion"/>
  </si>
  <si>
    <t>80 90 100 110 120 130 140 150 160 170 180 190 200 210 220 230 240 250 260 270</t>
    <phoneticPr fontId="1" type="noConversion"/>
  </si>
  <si>
    <t>bonus_str_pct</t>
    <phoneticPr fontId="1" type="noConversion"/>
  </si>
  <si>
    <t>spectre_0</t>
    <phoneticPr fontId="1" type="noConversion"/>
  </si>
  <si>
    <t>health</t>
    <phoneticPr fontId="1" type="noConversion"/>
  </si>
  <si>
    <t>spectre_4</t>
    <phoneticPr fontId="1" type="noConversion"/>
  </si>
  <si>
    <t>unit_limit</t>
    <phoneticPr fontId="1" type="noConversion"/>
  </si>
  <si>
    <t>max_reduce</t>
    <phoneticPr fontId="1" type="noConversion"/>
  </si>
  <si>
    <t>damage_limit</t>
    <phoneticPr fontId="1" type="noConversion"/>
  </si>
  <si>
    <t>spectre_1</t>
    <phoneticPr fontId="1" type="noConversion"/>
  </si>
  <si>
    <t>spectre_2</t>
    <phoneticPr fontId="1" type="noConversion"/>
  </si>
  <si>
    <t>spectre_3</t>
    <phoneticPr fontId="1" type="noConversion"/>
  </si>
  <si>
    <t>abilities/heroes/spectre/spectre_1</t>
    <phoneticPr fontId="1" type="noConversion"/>
  </si>
  <si>
    <t>200 400 600 800 1000 1200 1400 1600 1800 2000 2200 2400 2600 2800 3000 3200 3400 3600 3800 4000</t>
    <phoneticPr fontId="1" type="noConversion"/>
  </si>
  <si>
    <t>0.05 0.1 0.15 0.2 0.25 0.3 0.35 0.4 0.45 0.5 0.55 0.6 0.65 0.7 0.75 0.8 0.85 0.9 0.95 1</t>
    <phoneticPr fontId="1" type="noConversion"/>
  </si>
  <si>
    <t>30 60 90 120 150 180 210 240</t>
    <phoneticPr fontId="1" type="noConversion"/>
  </si>
  <si>
    <t>8 16 24 32 40 48 56 64 72 80 88 96 104 112 120 128 136 144 152 160</t>
    <phoneticPr fontId="1" type="noConversion"/>
  </si>
  <si>
    <t>soul_loss</t>
    <phoneticPr fontId="1" type="noConversion"/>
  </si>
  <si>
    <t>health_cost</t>
    <phoneticPr fontId="1" type="noConversion"/>
  </si>
  <si>
    <t>regen</t>
    <phoneticPr fontId="1" type="noConversion"/>
  </si>
  <si>
    <t>12 14 16 18 20 22 24 26 28 30 32 34 36 38 40 42 44 46 48 50</t>
    <phoneticPr fontId="1" type="noConversion"/>
  </si>
  <si>
    <t>damage_count</t>
    <phoneticPr fontId="1" type="noConversion"/>
  </si>
  <si>
    <t>damage_active</t>
    <phoneticPr fontId="1" type="noConversion"/>
  </si>
  <si>
    <t>str</t>
    <phoneticPr fontId="1" type="noConversion"/>
  </si>
  <si>
    <t>max_bonus_damage</t>
    <phoneticPr fontId="1" type="noConversion"/>
  </si>
  <si>
    <t>heal</t>
    <phoneticPr fontId="1" type="noConversion"/>
  </si>
  <si>
    <t>0.3 0.6 0.9 1.2 1.5 1.8 2.1 2.4 2.7 3 3.3 3.6 3.9 4.2 4.5 4.8 5.1 5.4 5.7 6</t>
    <phoneticPr fontId="1" type="noConversion"/>
  </si>
  <si>
    <t>per_damage</t>
    <phoneticPr fontId="1" type="noConversion"/>
  </si>
  <si>
    <t>max_radius</t>
    <phoneticPr fontId="1" type="noConversion"/>
  </si>
  <si>
    <t>shock_duration</t>
    <phoneticPr fontId="1" type="noConversion"/>
  </si>
  <si>
    <t>damage_add</t>
    <phoneticPr fontId="1" type="noConversion"/>
  </si>
  <si>
    <t>trigge_percent</t>
    <phoneticPr fontId="1" type="noConversion"/>
  </si>
  <si>
    <t>damage_deepen</t>
    <phoneticPr fontId="1" type="noConversion"/>
  </si>
  <si>
    <t>root_duration</t>
    <phoneticPr fontId="1" type="noConversion"/>
  </si>
  <si>
    <t>1.5 1.7 1.9 2.1 2.3 2.5 2.7 2.9 3.1 3.3 3.5 3.7 3.9 4.1 4.3 4.5 4.7 4.9 5.1 5.3</t>
    <phoneticPr fontId="1" type="noConversion"/>
  </si>
  <si>
    <t>damage_time_point</t>
    <phoneticPr fontId="1" type="noConversion"/>
  </si>
  <si>
    <t>42 44 46 48 50 52 54 56 58 60 62 64 66 68 70 72 74 76 78 80</t>
    <phoneticPr fontId="1" type="noConversion"/>
  </si>
  <si>
    <t>spectre_1_0</t>
    <phoneticPr fontId="1" type="noConversion"/>
  </si>
  <si>
    <t>ACT_DOTA_OVERRIDE_ABILITY_1</t>
    <phoneticPr fontId="1" type="noConversion"/>
  </si>
  <si>
    <t>ACT_DOTA_CAST_ABILITY_4</t>
    <phoneticPr fontId="1" type="noConversion"/>
  </si>
  <si>
    <t>DOTA_ABILITY_BEHAVIOR_IMMEDIATE | DOTA_ABILITY_BEHAVIOR_NO_TARGET | DOTA_ABILITY_BEHAVIOR_IGNORE_BACKSWING</t>
    <phoneticPr fontId="1" type="noConversion"/>
  </si>
  <si>
    <t>SPELL_IMMUNITY_ENEMIES_YES</t>
    <phoneticPr fontId="1" type="noConversion"/>
  </si>
  <si>
    <t>1.5 1.6 1.7 1.8 1.9 2 2.1 2.2</t>
    <phoneticPr fontId="1" type="noConversion"/>
  </si>
  <si>
    <t>critical</t>
    <phoneticPr fontId="1" type="noConversion"/>
  </si>
  <si>
    <t>output_damage</t>
    <phoneticPr fontId="1" type="noConversion"/>
  </si>
  <si>
    <t>-45 -40 -35 -30 -25 -20 -15 -10 -5 0 5 10 15 20 25 30 35 40 45 50</t>
    <phoneticPr fontId="1" type="noConversion"/>
  </si>
  <si>
    <t>80 160 240 320 400 480 560 640 720 800 880 960 1040 1120 1200 1280 1360 1440 1520 1600</t>
    <phoneticPr fontId="1" type="noConversion"/>
  </si>
  <si>
    <t>attackspeed</t>
    <phoneticPr fontId="1" type="noConversion"/>
  </si>
  <si>
    <t>blade_fury_radius</t>
    <phoneticPr fontId="1" type="noConversion"/>
  </si>
  <si>
    <t>input_damage</t>
    <phoneticPr fontId="1" type="noConversion"/>
  </si>
  <si>
    <t>bonus_attack_speed</t>
    <phoneticPr fontId="1" type="noConversion"/>
  </si>
  <si>
    <t>images_count</t>
    <phoneticPr fontId="1" type="noConversion"/>
  </si>
  <si>
    <t>1 1 1 1 2 2 2 2 3 3 3 3 4 4 4 4 5 5 5 5</t>
    <phoneticPr fontId="1" type="noConversion"/>
  </si>
  <si>
    <t>4 4.4 4.8 5.2 5.6 6 6.4 6.8 7.2 7.6 8 8.4 8.8 9.2 9.6 10 10.4 10.8 11.2 11.6</t>
    <phoneticPr fontId="1" type="noConversion"/>
  </si>
  <si>
    <t>3.6 7.2 10.8 14.4 18 21.6 25.2 28.8</t>
    <phoneticPr fontId="1" type="noConversion"/>
  </si>
  <si>
    <t>buff_duration</t>
    <phoneticPr fontId="1" type="noConversion"/>
  </si>
  <si>
    <t>blade_fury_damage_tick</t>
    <phoneticPr fontId="1" type="noConversion"/>
  </si>
  <si>
    <t>illusion_damage_percent</t>
    <phoneticPr fontId="1" type="noConversion"/>
  </si>
  <si>
    <t>AbilityDuration</t>
  </si>
  <si>
    <t>juggernaut_0</t>
    <phoneticPr fontId="1" type="noConversion"/>
  </si>
  <si>
    <t>敏捷精通</t>
    <phoneticPr fontId="1" type="noConversion"/>
  </si>
  <si>
    <t>剑刃风暴</t>
    <phoneticPr fontId="1" type="noConversion"/>
  </si>
  <si>
    <t>镜像</t>
    <phoneticPr fontId="1" type="noConversion"/>
  </si>
  <si>
    <t>剑舞</t>
    <phoneticPr fontId="1" type="noConversion"/>
  </si>
  <si>
    <t>幻影剑舞</t>
    <phoneticPr fontId="1" type="noConversion"/>
  </si>
  <si>
    <t>juggernaut_2_1</t>
    <phoneticPr fontId="1" type="noConversion"/>
  </si>
  <si>
    <t>一刀千花叶</t>
    <phoneticPr fontId="1" type="noConversion"/>
  </si>
  <si>
    <t>abilities/heroes/juggernaut/juggernaut_2_1</t>
    <phoneticPr fontId="1" type="noConversion"/>
  </si>
  <si>
    <t>juggernaut_1</t>
    <phoneticPr fontId="1" type="noConversion"/>
  </si>
  <si>
    <t>juggernaut_2</t>
    <phoneticPr fontId="1" type="noConversion"/>
  </si>
  <si>
    <t>juggernaut_3</t>
    <phoneticPr fontId="1" type="noConversion"/>
  </si>
  <si>
    <t>juggernaut_4</t>
    <phoneticPr fontId="1" type="noConversion"/>
  </si>
  <si>
    <t>ACT_DOTA_ATTACK_EVENT</t>
    <phoneticPr fontId="1" type="noConversion"/>
  </si>
  <si>
    <t>IgnoreCooldownReduction</t>
    <phoneticPr fontId="1" type="noConversion"/>
  </si>
  <si>
    <t>忽略冷却缩减</t>
    <phoneticPr fontId="1" type="noConversion"/>
  </si>
  <si>
    <t>专属装备升级</t>
    <phoneticPr fontId="1" type="noConversion"/>
  </si>
  <si>
    <t>ScepterLevel</t>
    <phoneticPr fontId="1" type="noConversion"/>
  </si>
  <si>
    <t>ACT_DOTA_CAST_ABILITY_1</t>
    <phoneticPr fontId="1" type="noConversion"/>
  </si>
  <si>
    <t>ACT_DOTA_CAST4_STATUE</t>
    <phoneticPr fontId="1" type="noConversion"/>
  </si>
  <si>
    <t>active_health_cost</t>
    <phoneticPr fontId="1" type="noConversion"/>
  </si>
  <si>
    <t>health_str</t>
    <phoneticPr fontId="1" type="noConversion"/>
  </si>
  <si>
    <t>scepter_illusion_damage</t>
    <phoneticPr fontId="1" type="noConversion"/>
  </si>
  <si>
    <t>scepter_min_damage_pct</t>
    <phoneticPr fontId="1" type="noConversion"/>
  </si>
  <si>
    <t>scepter_cooldown</t>
    <phoneticPr fontId="1" type="noConversion"/>
  </si>
  <si>
    <t>scepter_damage_limit</t>
    <phoneticPr fontId="1" type="noConversion"/>
  </si>
  <si>
    <t>能否驱散</t>
    <phoneticPr fontId="1" type="noConversion"/>
  </si>
  <si>
    <t>SpellDispellableType</t>
    <phoneticPr fontId="1" type="noConversion"/>
  </si>
  <si>
    <t>SPELL_DISPELLABLE_YES_STRONG</t>
    <phoneticPr fontId="1" type="noConversion"/>
  </si>
  <si>
    <t>SPELL_DISPELLABLE_YES</t>
    <phoneticPr fontId="1" type="noConversion"/>
  </si>
  <si>
    <t>SPELL_DISPELLABLE_NO</t>
    <phoneticPr fontId="1" type="noConversion"/>
  </si>
  <si>
    <t>驱散类型</t>
    <phoneticPr fontId="1" type="noConversion"/>
  </si>
  <si>
    <t>PurgeType</t>
    <phoneticPr fontId="1" type="noConversion"/>
  </si>
  <si>
    <t>PurgeTypeStrong</t>
    <phoneticPr fontId="1" type="noConversion"/>
  </si>
  <si>
    <t>PurgeTypeWeak</t>
    <phoneticPr fontId="1" type="noConversion"/>
  </si>
  <si>
    <t>3|4</t>
    <phoneticPr fontId="1" type="noConversion"/>
  </si>
  <si>
    <t>DOTA_ABILITY_BEHAVIOR_UNIT_TARGET | DOTA_ABILITY_BEHAVIOR_POINT | DOTA_ABILITY_BEHAVIOR_IGNORE_BACKSWING | DOTA_ABILITY_BEHAVIOR_HIDDEN</t>
    <phoneticPr fontId="1" type="noConversion"/>
  </si>
  <si>
    <t>DOTA_UNIT_TARGET_FLAG_NO_INVIS</t>
    <phoneticPr fontId="1" type="noConversion"/>
  </si>
  <si>
    <t>width</t>
    <phoneticPr fontId="1" type="noConversion"/>
  </si>
  <si>
    <t>invuln_duration</t>
    <phoneticPr fontId="1" type="noConversion"/>
  </si>
  <si>
    <t>scepter_damage_pct</t>
    <phoneticPr fontId="1" type="noConversion"/>
  </si>
  <si>
    <t>scepter_reduce_pct</t>
    <phoneticPr fontId="1" type="noConversion"/>
  </si>
  <si>
    <t>scepter_ignore_armor_chance</t>
    <phoneticPr fontId="1" type="noConversion"/>
  </si>
  <si>
    <t>nevermore_0</t>
    <phoneticPr fontId="1" type="noConversion"/>
  </si>
  <si>
    <t>破碎的灵魂</t>
    <phoneticPr fontId="1" type="noConversion"/>
  </si>
  <si>
    <t>三重黑幕</t>
    <phoneticPr fontId="1" type="noConversion"/>
  </si>
  <si>
    <t>魂之挽歌</t>
    <phoneticPr fontId="1" type="noConversion"/>
  </si>
  <si>
    <t>地狱冥土</t>
    <phoneticPr fontId="1" type="noConversion"/>
  </si>
  <si>
    <t>支配死灵</t>
    <phoneticPr fontId="1" type="noConversion"/>
  </si>
  <si>
    <t>DOTA_ABILITY_BEHAVIOR_NO_TARGET | DOTA_ABILITY_BEHAVIOR_IGNORE_BACKSWING</t>
    <phoneticPr fontId="1" type="noConversion"/>
  </si>
  <si>
    <t>shadowraze_count</t>
    <phoneticPr fontId="1" type="noConversion"/>
  </si>
  <si>
    <t>stack_reduce_damage</t>
    <phoneticPr fontId="1" type="noConversion"/>
  </si>
  <si>
    <t>attack_per_str</t>
    <phoneticPr fontId="1" type="noConversion"/>
  </si>
  <si>
    <t>active_factor</t>
    <phoneticPr fontId="1" type="noConversion"/>
  </si>
  <si>
    <t>6 12 18 24 30 36</t>
    <phoneticPr fontId="1" type="noConversion"/>
  </si>
  <si>
    <t>soul_count</t>
    <phoneticPr fontId="1" type="noConversion"/>
  </si>
  <si>
    <t>fear_duration</t>
    <phoneticPr fontId="1" type="noConversion"/>
  </si>
  <si>
    <t>line_width_start</t>
    <phoneticPr fontId="1" type="noConversion"/>
  </si>
  <si>
    <t>shadowraze_range</t>
    <phoneticPr fontId="1" type="noConversion"/>
  </si>
  <si>
    <t>combo_duration</t>
    <phoneticPr fontId="1" type="noConversion"/>
  </si>
  <si>
    <t>reduce_damage</t>
    <phoneticPr fontId="1" type="noConversion"/>
  </si>
  <si>
    <t>DOTA_ABILITY_BEHAVIOR_TOGGLE</t>
    <phoneticPr fontId="1" type="noConversion"/>
  </si>
  <si>
    <t>DOTA_ABILITY_BEHAVIOR_NO_TARGET | DOTA_ABILITY_BEHAVIOR_TOGGLE | DOTA_ABILITY_BEHAVIOR_IMMEDIATE</t>
    <phoneticPr fontId="1" type="noConversion"/>
  </si>
  <si>
    <t>300 600 900</t>
    <phoneticPr fontId="1" type="noConversion"/>
  </si>
  <si>
    <t>40 60 80 100 120 140 160 180 200 220 240 260 280 300 320 340 360 380 400 420</t>
    <phoneticPr fontId="1" type="noConversion"/>
  </si>
  <si>
    <t>nevermore_1</t>
    <phoneticPr fontId="1" type="noConversion"/>
  </si>
  <si>
    <t>nevermore_2</t>
    <phoneticPr fontId="1" type="noConversion"/>
  </si>
  <si>
    <t>nevermore_3</t>
    <phoneticPr fontId="1" type="noConversion"/>
  </si>
  <si>
    <t>nevermore_4</t>
    <phoneticPr fontId="1" type="noConversion"/>
  </si>
  <si>
    <t>ACT_DOTA_RAZE_2</t>
    <phoneticPr fontId="1" type="noConversion"/>
  </si>
  <si>
    <t>ACT_DOTA_RAZE_3</t>
    <phoneticPr fontId="1" type="noConversion"/>
  </si>
  <si>
    <t>ACT_DOTA_CAST_ABILITY_6</t>
    <phoneticPr fontId="1" type="noConversion"/>
  </si>
  <si>
    <t>200 300 400 500 600 700 800 900</t>
    <phoneticPr fontId="1" type="noConversion"/>
  </si>
  <si>
    <t>shadowraze_radius</t>
    <phoneticPr fontId="1" type="noConversion"/>
  </si>
  <si>
    <t>line_width_end</t>
    <phoneticPr fontId="1" type="noConversion"/>
  </si>
  <si>
    <t>line_speed</t>
    <phoneticPr fontId="1" type="noConversion"/>
  </si>
  <si>
    <t>storm_interval</t>
    <phoneticPr fontId="1" type="noConversion"/>
  </si>
  <si>
    <t>60 70 80 90 100 110 120 130</t>
    <phoneticPr fontId="1" type="noConversion"/>
  </si>
  <si>
    <t>300 600 900 1200 1500 1800 2100 2400</t>
    <phoneticPr fontId="1" type="noConversion"/>
  </si>
  <si>
    <t>scepter_bonus_damage</t>
    <phoneticPr fontId="1" type="noConversion"/>
  </si>
  <si>
    <t>max_reduce_damage</t>
    <phoneticPr fontId="1" type="noConversion"/>
  </si>
  <si>
    <t>pull_speed</t>
    <phoneticPr fontId="1" type="noConversion"/>
  </si>
  <si>
    <t>tick_rate</t>
    <phoneticPr fontId="1" type="noConversion"/>
  </si>
  <si>
    <t>pull_rotate_speed</t>
    <phoneticPr fontId="1" type="noConversion"/>
  </si>
  <si>
    <t>animation_rate</t>
    <phoneticPr fontId="1" type="noConversion"/>
  </si>
  <si>
    <t>175 350 525 700 875 1050 1225 1400 1575 1750 1925 2100 2275 2450 2625 2800 2975 3150 3325 3500</t>
    <phoneticPr fontId="1" type="noConversion"/>
  </si>
  <si>
    <t>4 5 6 7 8 9 10 11 12 13 14 15 16 17 18 19 20 21 22 23</t>
    <phoneticPr fontId="1" type="noConversion"/>
  </si>
  <si>
    <t>respawn_cooldown</t>
    <phoneticPr fontId="1" type="noConversion"/>
  </si>
  <si>
    <t>trigger_pct</t>
    <phoneticPr fontId="1" type="noConversion"/>
  </si>
  <si>
    <t>rubick_0</t>
    <phoneticPr fontId="1" type="noConversion"/>
  </si>
  <si>
    <t>空间裂缝</t>
    <phoneticPr fontId="1" type="noConversion"/>
  </si>
  <si>
    <t>DOTA_ABILITY_BEHAVIOR_AOE</t>
    <phoneticPr fontId="1" type="noConversion"/>
  </si>
  <si>
    <t>pull_bonus</t>
    <phoneticPr fontId="1" type="noConversion"/>
  </si>
  <si>
    <t>pull_duration</t>
    <phoneticPr fontId="1" type="noConversion"/>
  </si>
  <si>
    <t>DOTA_UNIT_TARGET_FLAG_MAGIC_IMMUNE_ENEMIES</t>
    <phoneticPr fontId="1" type="noConversion"/>
  </si>
  <si>
    <t>interval_reduction</t>
    <phoneticPr fontId="1" type="noConversion"/>
  </si>
  <si>
    <t>rubick_1</t>
    <phoneticPr fontId="1" type="noConversion"/>
  </si>
  <si>
    <t>rubick_2</t>
    <phoneticPr fontId="1" type="noConversion"/>
  </si>
  <si>
    <t>rubick_3</t>
    <phoneticPr fontId="1" type="noConversion"/>
  </si>
  <si>
    <t>rubick_4</t>
    <phoneticPr fontId="1" type="noConversion"/>
  </si>
  <si>
    <t>空间魔法</t>
    <phoneticPr fontId="1" type="noConversion"/>
  </si>
  <si>
    <t>传送法阵</t>
    <phoneticPr fontId="1" type="noConversion"/>
  </si>
  <si>
    <t>空间牢笼</t>
    <phoneticPr fontId="1" type="noConversion"/>
  </si>
  <si>
    <t>世界投影</t>
    <phoneticPr fontId="1" type="noConversion"/>
  </si>
  <si>
    <t>80 95 110 125 140 155 170 185 200 215 230 245 260 275 290 305 320 335 350 365</t>
    <phoneticPr fontId="1" type="noConversion"/>
  </si>
  <si>
    <t>160 190 220 250 280 310 340 370 400 430 460 490 520 550 580 610 640 670 700 730</t>
    <phoneticPr fontId="1" type="noConversion"/>
  </si>
  <si>
    <t>300 450 600 750 900 1050 1200 1350</t>
    <phoneticPr fontId="1" type="noConversion"/>
  </si>
  <si>
    <t>pull_damage</t>
    <phoneticPr fontId="1" type="noConversion"/>
  </si>
  <si>
    <t>100 200 300 400 500 600 700 800</t>
    <phoneticPr fontId="1" type="noConversion"/>
  </si>
  <si>
    <t>center_damage</t>
    <phoneticPr fontId="1" type="noConversion"/>
  </si>
  <si>
    <t>1 2 3 4 5 6 7 8</t>
    <phoneticPr fontId="1" type="noConversion"/>
  </si>
  <si>
    <t>center_radius</t>
    <phoneticPr fontId="1" type="noConversion"/>
  </si>
  <si>
    <t>open_damage</t>
    <phoneticPr fontId="1" type="noConversion"/>
  </si>
  <si>
    <t>DOTA_ABILITY_BEHAVIOR_IGNORE_CHANNEL</t>
    <phoneticPr fontId="1" type="noConversion"/>
  </si>
  <si>
    <t>DOTA_ABILITY_BEHAVIOR_DONT_CANCEL_CHANNEL</t>
    <phoneticPr fontId="1" type="noConversion"/>
  </si>
  <si>
    <t>ACT_DOTA_CAST_ABILITY_5</t>
    <phoneticPr fontId="1" type="noConversion"/>
  </si>
  <si>
    <t>scepter_delay</t>
    <phoneticPr fontId="1" type="noConversion"/>
  </si>
  <si>
    <t>scepter_factor</t>
    <phoneticPr fontId="1" type="noConversion"/>
  </si>
  <si>
    <t>shield_factor</t>
    <phoneticPr fontId="1" type="noConversion"/>
  </si>
  <si>
    <t>shield_duration</t>
    <phoneticPr fontId="1" type="noConversion"/>
  </si>
  <si>
    <t>max_count</t>
    <phoneticPr fontId="1" type="noConversion"/>
  </si>
  <si>
    <t>damage_factor</t>
    <phoneticPr fontId="1" type="noConversion"/>
  </si>
  <si>
    <t>bounce_radius</t>
    <phoneticPr fontId="1" type="noConversion"/>
  </si>
  <si>
    <t>cooldown_reduction</t>
    <phoneticPr fontId="1" type="noConversion"/>
  </si>
  <si>
    <t>windrunner_0</t>
    <phoneticPr fontId="1" type="noConversion"/>
  </si>
  <si>
    <t>追星逐月</t>
    <phoneticPr fontId="1" type="noConversion"/>
  </si>
  <si>
    <t>多重射击</t>
    <phoneticPr fontId="1" type="noConversion"/>
  </si>
  <si>
    <t>狂风</t>
    <phoneticPr fontId="1" type="noConversion"/>
  </si>
  <si>
    <t>风行</t>
    <phoneticPr fontId="1" type="noConversion"/>
  </si>
  <si>
    <t>箭矢风暴</t>
    <phoneticPr fontId="1" type="noConversion"/>
  </si>
  <si>
    <t>delay_pct</t>
    <phoneticPr fontId="1" type="noConversion"/>
  </si>
  <si>
    <t>windrunner_1</t>
    <phoneticPr fontId="1" type="noConversion"/>
  </si>
  <si>
    <t>windrunner_2</t>
    <phoneticPr fontId="1" type="noConversion"/>
  </si>
  <si>
    <t>windrunner_3</t>
    <phoneticPr fontId="1" type="noConversion"/>
  </si>
  <si>
    <t>windrunner_4</t>
    <phoneticPr fontId="1" type="noConversion"/>
  </si>
  <si>
    <t>DOTA_ABILITY_BEHAVIOR_IMMEDIATE</t>
    <phoneticPr fontId="1" type="noConversion"/>
  </si>
  <si>
    <t>DOTA_ABILITY_BEHAVIOR_IGNORE_BACKSWING</t>
    <phoneticPr fontId="1" type="noConversion"/>
  </si>
  <si>
    <t>DOTA_ABILITY_BEHAVIOR_UNIT_TARGET | DOTA_ABILITY_BEHAVIOR_IMMEDIATE | DOTA_ABILITY_BEHAVIOR_IGNORE_BACKSWING</t>
    <phoneticPr fontId="1" type="noConversion"/>
  </si>
  <si>
    <t>attacktime</t>
    <phoneticPr fontId="1" type="noConversion"/>
  </si>
  <si>
    <t>30 60 90 120 150 180 210 240 270 300 330 360 390 420 450 480 510 540 570 600</t>
    <phoneticPr fontId="1" type="noConversion"/>
  </si>
  <si>
    <t>range</t>
    <phoneticPr fontId="1" type="noConversion"/>
  </si>
  <si>
    <t>DOTA_ABILITY_BEHAVIOR_NO_TARGET | DOTA_ABILITY_BEHAVIOR_IMMEDIATE</t>
    <phoneticPr fontId="1" type="noConversion"/>
  </si>
  <si>
    <t>DOTA_ABILITY_BEHAVIOR_POINT | DOTA_ABILITY_BEHAVIOR_CHANNELLED | DOTA_ABILITY_BEHAVIOR_IGNORE_BACKSWING</t>
    <phoneticPr fontId="1" type="noConversion"/>
  </si>
  <si>
    <t>damage_radius</t>
    <phoneticPr fontId="1" type="noConversion"/>
  </si>
  <si>
    <t>5 10 15 20 25 30 35 40</t>
    <phoneticPr fontId="1" type="noConversion"/>
  </si>
  <si>
    <t>54 58 62 66 70 74 78 82 86 90 94 98 102 106 110 114 118 122 126 130</t>
    <phoneticPr fontId="1" type="noConversion"/>
  </si>
  <si>
    <t>80 100 120 140 160 180 200 220</t>
    <phoneticPr fontId="1" type="noConversion"/>
  </si>
  <si>
    <t>120 135 150 165 180 195 210 225</t>
    <phoneticPr fontId="1" type="noConversion"/>
  </si>
  <si>
    <t>22 24 26 28 30 32 34 36 38 40 42 44 46 48 50 52 54 56 58 60</t>
    <phoneticPr fontId="1" type="noConversion"/>
  </si>
  <si>
    <t>movespeed_pct</t>
    <phoneticPr fontId="1" type="noConversion"/>
  </si>
  <si>
    <t>movespeed_reduce_pct</t>
    <phoneticPr fontId="1" type="noConversion"/>
  </si>
  <si>
    <t>scepter_bonus_duration</t>
    <phoneticPr fontId="1" type="noConversion"/>
  </si>
  <si>
    <t>scepter_duration</t>
    <phoneticPr fontId="1" type="noConversion"/>
  </si>
  <si>
    <t>2|3</t>
    <phoneticPr fontId="1" type="noConversion"/>
  </si>
  <si>
    <t>bonus_damage_pct</t>
    <phoneticPr fontId="1" type="noConversion"/>
  </si>
  <si>
    <t>bonus_range</t>
    <phoneticPr fontId="1" type="noConversion"/>
  </si>
  <si>
    <t>spirit_count</t>
    <phoneticPr fontId="1" type="noConversion"/>
  </si>
  <si>
    <t>armor_reduce</t>
    <phoneticPr fontId="1" type="noConversion"/>
  </si>
  <si>
    <t>active_cooldown</t>
    <phoneticPr fontId="1" type="noConversion"/>
  </si>
  <si>
    <t>damage_increase_pct</t>
    <phoneticPr fontId="1" type="noConversion"/>
  </si>
  <si>
    <t>attackspeed_reduce</t>
    <phoneticPr fontId="1" type="noConversion"/>
  </si>
  <si>
    <t>crystal_maiden_0</t>
    <phoneticPr fontId="1" type="noConversion"/>
  </si>
  <si>
    <t>冰霜魔印</t>
    <phoneticPr fontId="1" type="noConversion"/>
  </si>
  <si>
    <t>寒气爆发</t>
    <phoneticPr fontId="1" type="noConversion"/>
  </si>
  <si>
    <t>暴风雪</t>
    <phoneticPr fontId="1" type="noConversion"/>
  </si>
  <si>
    <t>急冻光环</t>
    <phoneticPr fontId="1" type="noConversion"/>
  </si>
  <si>
    <t>冰霜结界</t>
    <phoneticPr fontId="1" type="noConversion"/>
  </si>
  <si>
    <t>DOTA_UNIT_TARGET_TEAM_BOTH</t>
    <phoneticPr fontId="1" type="noConversion"/>
  </si>
  <si>
    <t>frozen_duration</t>
    <phoneticPr fontId="1" type="noConversion"/>
  </si>
  <si>
    <t>cold_radius</t>
    <phoneticPr fontId="1" type="noConversion"/>
  </si>
  <si>
    <t>mark_duration</t>
    <phoneticPr fontId="1" type="noConversion"/>
  </si>
  <si>
    <t>crystal_maiden_1</t>
    <phoneticPr fontId="1" type="noConversion"/>
  </si>
  <si>
    <t>crystal_maiden_2</t>
    <phoneticPr fontId="1" type="noConversion"/>
  </si>
  <si>
    <t>crystal_maiden_3</t>
    <phoneticPr fontId="1" type="noConversion"/>
  </si>
  <si>
    <t>crystal_maiden_4</t>
    <phoneticPr fontId="1" type="noConversion"/>
  </si>
  <si>
    <t>80 85 90 95 100 105 110 115 120 125 130 135 140 145 150 155 160 165 170 175</t>
    <phoneticPr fontId="1" type="noConversion"/>
  </si>
  <si>
    <t>25 30 35 40 45 50 55 60 65 70 75 80 85 90 95 100 105 110 115 120</t>
    <phoneticPr fontId="1" type="noConversion"/>
  </si>
  <si>
    <t>slow_duration</t>
    <phoneticPr fontId="1" type="noConversion"/>
  </si>
  <si>
    <t>radius_per_cold</t>
    <phoneticPr fontId="1" type="noConversion"/>
  </si>
  <si>
    <t>damage_per_cold</t>
    <phoneticPr fontId="1" type="noConversion"/>
  </si>
  <si>
    <t>interval_per_cold</t>
    <phoneticPr fontId="1" type="noConversion"/>
  </si>
  <si>
    <t>cooldown_reduce</t>
    <phoneticPr fontId="1" type="noConversion"/>
  </si>
  <si>
    <t>refresh_chance</t>
    <phoneticPr fontId="1" type="noConversion"/>
  </si>
  <si>
    <t>frozen_per_cold</t>
    <phoneticPr fontId="1" type="noConversion"/>
  </si>
  <si>
    <t>frozen_speed</t>
    <phoneticPr fontId="1" type="noConversion"/>
  </si>
  <si>
    <t>40 60 80 100 120 140 160 180</t>
    <phoneticPr fontId="1" type="noConversion"/>
  </si>
  <si>
    <t>duration_per_cold</t>
    <phoneticPr fontId="1" type="noConversion"/>
  </si>
  <si>
    <t>scepter_freeze_duration</t>
    <phoneticPr fontId="1" type="noConversion"/>
  </si>
  <si>
    <t>1|3</t>
    <phoneticPr fontId="1" type="noConversion"/>
  </si>
  <si>
    <t>scepter_max_count</t>
    <phoneticPr fontId="1" type="noConversion"/>
  </si>
  <si>
    <t>chance_per_cold</t>
    <phoneticPr fontId="1" type="noConversion"/>
  </si>
  <si>
    <t>11 12 13 14 15 16 17 18 19 20 21 22 23 24 25 26 27 28 29 30</t>
    <phoneticPr fontId="1" type="noConversion"/>
  </si>
  <si>
    <t>oracle_0</t>
    <phoneticPr fontId="1" type="noConversion"/>
  </si>
  <si>
    <t>死亡预言</t>
    <phoneticPr fontId="1" type="noConversion"/>
  </si>
  <si>
    <t>涤罪之焰</t>
    <phoneticPr fontId="1" type="noConversion"/>
  </si>
  <si>
    <t>窥视未来</t>
    <phoneticPr fontId="1" type="noConversion"/>
  </si>
  <si>
    <t>恒星陨落</t>
    <phoneticPr fontId="1" type="noConversion"/>
  </si>
  <si>
    <t>bonus_intellect</t>
    <phoneticPr fontId="1" type="noConversion"/>
  </si>
  <si>
    <t>bonus_damage</t>
    <phoneticPr fontId="1" type="noConversion"/>
  </si>
  <si>
    <t>bonus_damage_stack</t>
    <phoneticPr fontId="1" type="noConversion"/>
  </si>
  <si>
    <t>intellect_stack</t>
    <phoneticPr fontId="1" type="noConversion"/>
  </si>
  <si>
    <t>exp_gain_pct</t>
    <phoneticPr fontId="1" type="noConversion"/>
  </si>
  <si>
    <t>damage_dot</t>
    <phoneticPr fontId="1" type="noConversion"/>
  </si>
  <si>
    <t>damage_reduce_pct</t>
    <phoneticPr fontId="1" type="noConversion"/>
  </si>
  <si>
    <t>base_level</t>
    <phoneticPr fontId="1" type="noConversion"/>
  </si>
  <si>
    <t>util_level</t>
    <phoneticPr fontId="1" type="noConversion"/>
  </si>
  <si>
    <t>21 22 23 24 25 26 27 28 29 30 31 32 33 34 35 36 37 38 39 40</t>
    <phoneticPr fontId="1" type="noConversion"/>
  </si>
  <si>
    <t>block_count</t>
    <phoneticPr fontId="1" type="noConversion"/>
  </si>
  <si>
    <t>6 6 6 6 7 7 7 7 8 8 8 8 9 9 9 9 10 10 10 10</t>
    <phoneticPr fontId="1" type="noConversion"/>
  </si>
  <si>
    <t>block_duration</t>
    <phoneticPr fontId="1" type="noConversion"/>
  </si>
  <si>
    <t>80 160 240 320 400 480 560 640</t>
    <phoneticPr fontId="1" type="noConversion"/>
  </si>
  <si>
    <t>imprison_duration</t>
    <phoneticPr fontId="1" type="noConversion"/>
  </si>
  <si>
    <t>oracle_1</t>
    <phoneticPr fontId="1" type="noConversion"/>
  </si>
  <si>
    <t>oracle_2</t>
    <phoneticPr fontId="1" type="noConversion"/>
  </si>
  <si>
    <t>oracle_3</t>
    <phoneticPr fontId="1" type="noConversion"/>
  </si>
  <si>
    <t>oracle_4</t>
    <phoneticPr fontId="1" type="noConversion"/>
  </si>
  <si>
    <t>命运敕令</t>
    <phoneticPr fontId="1" type="noConversion"/>
  </si>
  <si>
    <t>DOTA_UNIT_TARGET_FLAG_OUT_OF_WORLD</t>
    <phoneticPr fontId="1" type="noConversion"/>
  </si>
  <si>
    <t>DOTA_ABILITY_BEHAVIOR_AUTOCAST</t>
    <phoneticPr fontId="1" type="noConversion"/>
  </si>
  <si>
    <t>DOTA_ABILITY_BEHAVIOR_UNIT_TARGET | DOTA_ABILITY_BEHAVIOR_AUTOCAST</t>
    <phoneticPr fontId="1" type="noConversion"/>
  </si>
  <si>
    <t>scepter_bonus_int_pct</t>
    <phoneticPr fontId="1" type="noConversion"/>
  </si>
  <si>
    <t>scepter_root_radius</t>
    <phoneticPr fontId="1" type="noConversion"/>
  </si>
  <si>
    <t>scepter_root_duration</t>
    <phoneticPr fontId="1" type="noConversion"/>
  </si>
  <si>
    <t>.</t>
    <phoneticPr fontId="1" type="noConversion"/>
  </si>
  <si>
    <t>void_spirit_0</t>
    <phoneticPr fontId="1" type="noConversion"/>
  </si>
  <si>
    <t>void_spirit_1</t>
    <phoneticPr fontId="1" type="noConversion"/>
  </si>
  <si>
    <t>void_spirit_2</t>
    <phoneticPr fontId="1" type="noConversion"/>
  </si>
  <si>
    <t>void_spirit_3</t>
    <phoneticPr fontId="1" type="noConversion"/>
  </si>
  <si>
    <t>void_spirit_4</t>
    <phoneticPr fontId="1" type="noConversion"/>
  </si>
  <si>
    <t>太虚守卫</t>
    <phoneticPr fontId="1" type="noConversion"/>
  </si>
  <si>
    <t>共鸣脉冲</t>
    <phoneticPr fontId="1" type="noConversion"/>
  </si>
  <si>
    <t>灵扉</t>
    <phoneticPr fontId="1" type="noConversion"/>
  </si>
  <si>
    <t>异化</t>
    <phoneticPr fontId="1" type="noConversion"/>
  </si>
  <si>
    <t>太虚之径</t>
    <phoneticPr fontId="1" type="noConversion"/>
  </si>
  <si>
    <t>500</t>
    <phoneticPr fontId="1" type="noConversion"/>
  </si>
  <si>
    <t>base_shield</t>
    <phoneticPr fontId="1" type="noConversion"/>
  </si>
  <si>
    <t>shield_per_attack</t>
    <phoneticPr fontId="1" type="noConversion"/>
  </si>
  <si>
    <t>4</t>
    <phoneticPr fontId="1" type="noConversion"/>
  </si>
  <si>
    <t>10</t>
    <phoneticPr fontId="1" type="noConversion"/>
  </si>
  <si>
    <t>0.5</t>
    <phoneticPr fontId="1" type="noConversion"/>
  </si>
  <si>
    <t>6</t>
    <phoneticPr fontId="1" type="noConversion"/>
  </si>
  <si>
    <t>20</t>
    <phoneticPr fontId="1" type="noConversion"/>
  </si>
  <si>
    <t>radius</t>
    <phoneticPr fontId="1" type="noConversion"/>
  </si>
  <si>
    <t>275</t>
    <phoneticPr fontId="1" type="noConversion"/>
  </si>
  <si>
    <t>disappear_time</t>
    <phoneticPr fontId="1" type="noConversion"/>
  </si>
  <si>
    <t>1.3</t>
    <phoneticPr fontId="1" type="noConversion"/>
  </si>
  <si>
    <t>stun_duration</t>
    <phoneticPr fontId="1" type="noConversion"/>
  </si>
  <si>
    <t>2</t>
    <phoneticPr fontId="1" type="noConversion"/>
  </si>
  <si>
    <t>ACT_DOTA_CAST_ABILITY_3</t>
    <phoneticPr fontId="1" type="noConversion"/>
  </si>
  <si>
    <t>ACT_DOTA_CAST_ABILITY_1</t>
    <phoneticPr fontId="1" type="noConversion"/>
  </si>
  <si>
    <t>duration</t>
    <phoneticPr fontId="1" type="noConversion"/>
  </si>
  <si>
    <t>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</si>
</sst>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5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2" xfId="0" applyBorder="1"/>
    <xf numFmtId="49" fontId="0" fillId="3" borderId="2" xfId="0" applyNumberFormat="1" applyFill="1" applyBorder="1" applyAlignment="1">
      <alignment horizontal="center"/>
    </xf>
    <xf numFmtId="49" fontId="0" fillId="0" borderId="0" xfId="0" applyNumberFormat="1" applyBorder="1" applyAlignment="1">
      <alignment horizontal="right"/>
    </xf>
    <xf numFmtId="49" fontId="0" fillId="0" borderId="3" xfId="0" applyNumberFormat="1" applyBorder="1" applyAlignment="1">
      <alignment horizontal="right"/>
    </xf>
    <xf numFmtId="49" fontId="0" fillId="0" borderId="0" xfId="0" applyNumberFormat="1" applyBorder="1" applyAlignment="1">
      <alignment horizontal="center"/>
    </xf>
    <xf numFmtId="49" fontId="0" fillId="0" borderId="1" xfId="0" applyNumberFormat="1" applyBorder="1" applyAlignment="1">
      <alignment horizontal="right"/>
    </xf>
    <xf numFmtId="49" fontId="0" fillId="2" borderId="0" xfId="0" applyNumberFormat="1" applyFill="1" applyBorder="1" applyAlignment="1">
      <alignment horizontal="right"/>
    </xf>
    <xf numFmtId="49" fontId="0" fillId="2" borderId="0" xfId="0" applyNumberFormat="1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1">
    <cellStyle name="常规" xfId="0" builtinId="0"/>
  </cellStyles>
  <dxfs count="11"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  <border>
        <right style="thin">
          <color auto="1"/>
        </right>
      </border>
    </dxf>
    <dxf>
      <fill>
        <patternFill>
          <bgColor theme="0"/>
        </patternFill>
      </fill>
      <border>
        <right style="thin">
          <color auto="1"/>
        </right>
        <top/>
        <bottom/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2E353D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31"/>
  <sheetViews>
    <sheetView tabSelected="1" workbookViewId="0">
      <pane xSplit="2" ySplit="2" topLeftCell="AA119" activePane="bottomRight" state="frozen"/>
      <selection pane="topRight" activeCell="C1" sqref="C1"/>
      <selection pane="bottomLeft" activeCell="A3" sqref="A3"/>
      <selection pane="bottomRight" activeCell="AC124" sqref="AC124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L123" s="1" t="s">
        <v>679</v>
      </c>
      <c r="M123" s="1">
        <v>1200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  <c r="AC123" s="8" t="s">
        <v>680</v>
      </c>
    </row>
    <row r="124" spans="1:37" x14ac:dyDescent="0.2">
      <c r="AC124" s="8" t="s">
        <v>681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N125" s="1">
        <v>0</v>
      </c>
      <c r="Q125" s="1">
        <v>10</v>
      </c>
      <c r="U125" s="1" t="s">
        <v>307</v>
      </c>
      <c r="W125" s="1" t="s">
        <v>479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665</v>
      </c>
      <c r="AF125" s="8" t="s">
        <v>633</v>
      </c>
      <c r="AG125" s="8" t="s">
        <v>666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>
        <v>20</v>
      </c>
      <c r="AG126" s="8">
        <v>4</v>
      </c>
      <c r="AH126" s="8">
        <v>500</v>
      </c>
      <c r="AI126" s="10">
        <v>10</v>
      </c>
      <c r="AJ126" s="10">
        <v>0.5</v>
      </c>
      <c r="AK126" s="10">
        <v>6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L127" s="1" t="s">
        <v>678</v>
      </c>
      <c r="M127" s="1">
        <v>1600</v>
      </c>
      <c r="N127" s="1">
        <v>0.2</v>
      </c>
      <c r="O127" s="1">
        <v>2</v>
      </c>
      <c r="P127" s="1">
        <v>12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  <c r="AC127" s="8" t="s">
        <v>219</v>
      </c>
      <c r="AD127" s="8" t="s">
        <v>269</v>
      </c>
      <c r="AE127" s="8" t="s">
        <v>672</v>
      </c>
      <c r="AF127" s="8" t="s">
        <v>674</v>
      </c>
      <c r="AG127" s="8" t="s">
        <v>676</v>
      </c>
    </row>
    <row r="128" spans="1:37" x14ac:dyDescent="0.2">
      <c r="AC128" s="8" t="s">
        <v>384</v>
      </c>
      <c r="AD128" s="8" t="s">
        <v>347</v>
      </c>
      <c r="AE128" s="8" t="s">
        <v>673</v>
      </c>
      <c r="AF128" s="8" t="s">
        <v>675</v>
      </c>
      <c r="AG128" s="8" t="s">
        <v>677</v>
      </c>
    </row>
    <row r="129" spans="1:27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</row>
    <row r="131" spans="1:27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10" priority="82">
      <formula>MOD(ROW(A4),2)=0</formula>
    </cfRule>
    <cfRule type="expression" dxfId="9" priority="83">
      <formula>MOD(ROW(A4),4)&lt;2</formula>
    </cfRule>
    <cfRule type="expression" dxfId="8" priority="86">
      <formula>MOD(ROW(A6),4)&lt;2</formula>
    </cfRule>
  </conditionalFormatting>
  <conditionalFormatting sqref="A3:Z10000">
    <cfRule type="expression" dxfId="7" priority="79">
      <formula>AND(ISBLANK(A3)=FALSE,MOD(ROW(),2)=0)</formula>
    </cfRule>
  </conditionalFormatting>
  <dataValidations count="1">
    <dataValidation type="list" allowBlank="1" showInputMessage="1" showErrorMessage="1" sqref="C3:C1048576" xr:uid="{6E12D6B3-CB1D-4754-8CC7-CF1BA94D1B96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D82B0E7-AFF0-48D2-AB3E-121747E6AAAD}">
          <x14:formula1>
            <xm:f>Sheet2!$F$1:$F$5</xm:f>
          </x14:formula1>
          <xm:sqref>F1:F1048576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013A7-0D01-4E46-9C3B-0269CB1FA99E}">
  <sheetPr codeName="Sheet2"/>
  <dimension ref="A1:L42"/>
  <sheetViews>
    <sheetView workbookViewId="0">
      <selection activeCell="E15" sqref="E15"/>
    </sheetView>
  </sheetViews>
  <sheetFormatPr defaultColWidth="9" defaultRowHeight="14.25" x14ac:dyDescent="0.2"/>
  <cols>
    <col min="1" max="1" width="9" style="5"/>
    <col min="2" max="2" width="11.375" style="5" bestFit="1" customWidth="1"/>
    <col min="3" max="3" width="15.375" style="5" customWidth="1"/>
    <col min="4" max="4" width="15.125" style="6" bestFit="1" customWidth="1"/>
    <col min="5" max="5" width="51" style="6" bestFit="1" customWidth="1"/>
    <col min="6" max="6" width="34.875" style="6" customWidth="1"/>
    <col min="7" max="7" width="19.375" style="6" customWidth="1"/>
    <col min="8" max="8" width="26.375" style="6" customWidth="1"/>
    <col min="9" max="9" width="16" style="6" customWidth="1"/>
    <col min="10" max="10" width="9" style="6"/>
    <col min="11" max="11" width="20.25" style="5" customWidth="1"/>
    <col min="12" max="12" width="15.25" style="5" customWidth="1"/>
    <col min="13" max="13" width="23" style="6" customWidth="1"/>
    <col min="14" max="16384" width="9" style="6"/>
  </cols>
  <sheetData>
    <row r="1" spans="1:9" s="4" customFormat="1" x14ac:dyDescent="0.2">
      <c r="A1" s="4" t="s">
        <v>7</v>
      </c>
      <c r="B1" s="4" t="s">
        <v>2</v>
      </c>
      <c r="C1" s="4" t="s">
        <v>145</v>
      </c>
      <c r="D1" s="4" t="s">
        <v>4</v>
      </c>
      <c r="E1" s="4" t="s">
        <v>1</v>
      </c>
      <c r="F1" s="4" t="s">
        <v>152</v>
      </c>
      <c r="H1" s="4" t="s">
        <v>141</v>
      </c>
      <c r="I1" s="4" t="s">
        <v>142</v>
      </c>
    </row>
    <row r="2" spans="1:9" x14ac:dyDescent="0.2">
      <c r="A2" s="5" t="s">
        <v>6</v>
      </c>
      <c r="B2" s="5" t="s">
        <v>3</v>
      </c>
      <c r="C2" s="5" t="s">
        <v>146</v>
      </c>
      <c r="D2" s="6" t="s">
        <v>98</v>
      </c>
      <c r="E2" s="6" t="s">
        <v>86</v>
      </c>
      <c r="F2" s="6" t="s">
        <v>154</v>
      </c>
      <c r="H2" s="6" t="str">
        <f>"abilities/boss/"&amp;Sheet1!A3</f>
        <v>abilities/boss/omniknight_0</v>
      </c>
      <c r="I2" s="6" t="s">
        <v>143</v>
      </c>
    </row>
    <row r="3" spans="1:9" x14ac:dyDescent="0.2">
      <c r="A3" s="5" t="s">
        <v>144</v>
      </c>
      <c r="B3" s="5" t="s">
        <v>140</v>
      </c>
      <c r="C3" s="5" t="s">
        <v>147</v>
      </c>
      <c r="D3" s="6" t="s">
        <v>102</v>
      </c>
      <c r="E3" s="6" t="s">
        <v>87</v>
      </c>
      <c r="F3" s="6" t="s">
        <v>155</v>
      </c>
      <c r="H3" s="6" t="s">
        <v>150</v>
      </c>
    </row>
    <row r="4" spans="1:9" x14ac:dyDescent="0.2">
      <c r="A4" s="5" t="s">
        <v>8</v>
      </c>
      <c r="B4" s="5" t="s">
        <v>9</v>
      </c>
      <c r="C4" s="5" t="s">
        <v>148</v>
      </c>
      <c r="D4" s="6" t="s">
        <v>103</v>
      </c>
      <c r="E4" s="6" t="s">
        <v>0</v>
      </c>
      <c r="F4" s="6" t="s">
        <v>156</v>
      </c>
    </row>
    <row r="5" spans="1:9" x14ac:dyDescent="0.2">
      <c r="A5" s="5" t="s">
        <v>43</v>
      </c>
      <c r="B5" s="5" t="s">
        <v>10</v>
      </c>
      <c r="C5" s="5" t="s">
        <v>149</v>
      </c>
      <c r="D5" s="6" t="s">
        <v>104</v>
      </c>
      <c r="E5" s="6" t="s">
        <v>88</v>
      </c>
      <c r="F5" s="6" t="s">
        <v>153</v>
      </c>
    </row>
    <row r="6" spans="1:9" x14ac:dyDescent="0.2">
      <c r="A6" s="5" t="s">
        <v>44</v>
      </c>
      <c r="B6" s="5" t="s">
        <v>11</v>
      </c>
      <c r="D6" s="6" t="s">
        <v>105</v>
      </c>
      <c r="E6" s="6" t="s">
        <v>5</v>
      </c>
    </row>
    <row r="7" spans="1:9" x14ac:dyDescent="0.2">
      <c r="A7" s="5" t="s">
        <v>45</v>
      </c>
      <c r="B7" s="5" t="s">
        <v>12</v>
      </c>
      <c r="D7" s="6" t="s">
        <v>106</v>
      </c>
      <c r="E7" s="6" t="s">
        <v>89</v>
      </c>
    </row>
    <row r="8" spans="1:9" x14ac:dyDescent="0.2">
      <c r="A8" s="5" t="s">
        <v>46</v>
      </c>
      <c r="B8" s="5" t="s">
        <v>13</v>
      </c>
      <c r="D8" s="6" t="s">
        <v>107</v>
      </c>
      <c r="E8" s="6" t="s">
        <v>521</v>
      </c>
    </row>
    <row r="9" spans="1:9" x14ac:dyDescent="0.2">
      <c r="A9" s="5" t="s">
        <v>47</v>
      </c>
      <c r="B9" s="5" t="s">
        <v>14</v>
      </c>
      <c r="D9" s="6" t="s">
        <v>108</v>
      </c>
      <c r="E9" s="6" t="s">
        <v>90</v>
      </c>
    </row>
    <row r="10" spans="1:9" x14ac:dyDescent="0.2">
      <c r="A10" s="5" t="s">
        <v>48</v>
      </c>
      <c r="B10" s="5" t="s">
        <v>15</v>
      </c>
      <c r="D10" s="6" t="s">
        <v>109</v>
      </c>
      <c r="E10" s="6" t="s">
        <v>151</v>
      </c>
    </row>
    <row r="11" spans="1:9" x14ac:dyDescent="0.2">
      <c r="A11" s="5" t="s">
        <v>49</v>
      </c>
      <c r="B11" s="5" t="s">
        <v>16</v>
      </c>
      <c r="D11" s="6" t="s">
        <v>110</v>
      </c>
      <c r="E11" s="6" t="s">
        <v>91</v>
      </c>
    </row>
    <row r="12" spans="1:9" x14ac:dyDescent="0.2">
      <c r="A12" s="5" t="s">
        <v>50</v>
      </c>
      <c r="B12" s="5" t="s">
        <v>17</v>
      </c>
      <c r="D12" s="6" t="s">
        <v>111</v>
      </c>
      <c r="E12" s="6" t="s">
        <v>491</v>
      </c>
    </row>
    <row r="13" spans="1:9" x14ac:dyDescent="0.2">
      <c r="A13" s="5" t="s">
        <v>51</v>
      </c>
      <c r="B13" s="5" t="s">
        <v>18</v>
      </c>
      <c r="D13" s="6" t="s">
        <v>132</v>
      </c>
      <c r="E13" s="6" t="s">
        <v>131</v>
      </c>
    </row>
    <row r="14" spans="1:9" x14ac:dyDescent="0.2">
      <c r="A14" s="5" t="s">
        <v>52</v>
      </c>
      <c r="B14" s="5" t="s">
        <v>19</v>
      </c>
      <c r="D14" s="6" t="s">
        <v>112</v>
      </c>
      <c r="E14" s="6" t="s">
        <v>565</v>
      </c>
    </row>
    <row r="15" spans="1:9" x14ac:dyDescent="0.2">
      <c r="A15" s="5" t="s">
        <v>53</v>
      </c>
      <c r="B15" s="5" t="s">
        <v>21</v>
      </c>
      <c r="D15" s="6" t="s">
        <v>113</v>
      </c>
      <c r="E15" s="6" t="s">
        <v>648</v>
      </c>
    </row>
    <row r="16" spans="1:9" x14ac:dyDescent="0.2">
      <c r="A16" s="5" t="s">
        <v>54</v>
      </c>
      <c r="B16" s="5" t="s">
        <v>69</v>
      </c>
      <c r="D16" s="6" t="s">
        <v>114</v>
      </c>
      <c r="E16" s="6" t="s">
        <v>133</v>
      </c>
    </row>
    <row r="17" spans="1:5" x14ac:dyDescent="0.2">
      <c r="A17" s="5" t="s">
        <v>55</v>
      </c>
      <c r="B17" s="5" t="s">
        <v>22</v>
      </c>
      <c r="D17" s="6" t="s">
        <v>115</v>
      </c>
      <c r="E17" s="6" t="s">
        <v>134</v>
      </c>
    </row>
    <row r="18" spans="1:5" x14ac:dyDescent="0.2">
      <c r="A18" s="5" t="s">
        <v>56</v>
      </c>
      <c r="B18" s="5" t="s">
        <v>23</v>
      </c>
      <c r="D18" s="6" t="s">
        <v>116</v>
      </c>
      <c r="E18" s="6" t="s">
        <v>135</v>
      </c>
    </row>
    <row r="19" spans="1:5" x14ac:dyDescent="0.2">
      <c r="A19" s="5" t="s">
        <v>57</v>
      </c>
      <c r="B19" s="5" t="s">
        <v>24</v>
      </c>
      <c r="D19" s="6" t="s">
        <v>117</v>
      </c>
      <c r="E19" s="6" t="s">
        <v>92</v>
      </c>
    </row>
    <row r="20" spans="1:5" x14ac:dyDescent="0.2">
      <c r="A20" s="5" t="s">
        <v>58</v>
      </c>
      <c r="B20" s="5" t="s">
        <v>25</v>
      </c>
      <c r="D20" s="6" t="s">
        <v>118</v>
      </c>
      <c r="E20" s="6" t="s">
        <v>93</v>
      </c>
    </row>
    <row r="21" spans="1:5" x14ac:dyDescent="0.2">
      <c r="A21" s="5" t="s">
        <v>59</v>
      </c>
      <c r="B21" s="5" t="s">
        <v>26</v>
      </c>
      <c r="D21" s="6" t="s">
        <v>119</v>
      </c>
      <c r="E21" s="6" t="s">
        <v>99</v>
      </c>
    </row>
    <row r="22" spans="1:5" x14ac:dyDescent="0.2">
      <c r="A22" s="5" t="s">
        <v>60</v>
      </c>
      <c r="B22" s="5" t="s">
        <v>27</v>
      </c>
      <c r="D22" s="6" t="s">
        <v>120</v>
      </c>
      <c r="E22" s="6" t="s">
        <v>136</v>
      </c>
    </row>
    <row r="23" spans="1:5" x14ac:dyDescent="0.2">
      <c r="A23" s="5" t="s">
        <v>61</v>
      </c>
      <c r="B23" s="5" t="s">
        <v>28</v>
      </c>
      <c r="D23" s="6" t="s">
        <v>121</v>
      </c>
      <c r="E23" s="6" t="s">
        <v>137</v>
      </c>
    </row>
    <row r="24" spans="1:5" x14ac:dyDescent="0.2">
      <c r="A24" s="5" t="s">
        <v>62</v>
      </c>
      <c r="B24" s="5" t="s">
        <v>29</v>
      </c>
      <c r="D24" s="6" t="s">
        <v>138</v>
      </c>
      <c r="E24" s="6" t="s">
        <v>100</v>
      </c>
    </row>
    <row r="25" spans="1:5" x14ac:dyDescent="0.2">
      <c r="A25" s="5" t="s">
        <v>63</v>
      </c>
      <c r="B25" s="5" t="s">
        <v>30</v>
      </c>
      <c r="D25" s="6" t="s">
        <v>122</v>
      </c>
      <c r="E25" s="6" t="s">
        <v>543</v>
      </c>
    </row>
    <row r="26" spans="1:5" x14ac:dyDescent="0.2">
      <c r="A26" s="5" t="s">
        <v>64</v>
      </c>
      <c r="B26" s="5" t="s">
        <v>31</v>
      </c>
      <c r="D26" s="6" t="s">
        <v>123</v>
      </c>
      <c r="E26" s="6" t="s">
        <v>139</v>
      </c>
    </row>
    <row r="27" spans="1:5" x14ac:dyDescent="0.2">
      <c r="A27" s="5" t="s">
        <v>65</v>
      </c>
      <c r="B27" s="5" t="s">
        <v>20</v>
      </c>
      <c r="D27" s="6" t="s">
        <v>124</v>
      </c>
      <c r="E27" s="6" t="s">
        <v>101</v>
      </c>
    </row>
    <row r="28" spans="1:5" x14ac:dyDescent="0.2">
      <c r="A28" s="5" t="s">
        <v>66</v>
      </c>
      <c r="B28" s="5" t="s">
        <v>32</v>
      </c>
      <c r="D28" s="6" t="s">
        <v>125</v>
      </c>
      <c r="E28" s="6" t="s">
        <v>94</v>
      </c>
    </row>
    <row r="29" spans="1:5" x14ac:dyDescent="0.2">
      <c r="A29" s="5" t="s">
        <v>67</v>
      </c>
      <c r="B29" s="5" t="s">
        <v>33</v>
      </c>
      <c r="D29" s="6" t="s">
        <v>126</v>
      </c>
      <c r="E29" s="6" t="s">
        <v>95</v>
      </c>
    </row>
    <row r="30" spans="1:5" x14ac:dyDescent="0.2">
      <c r="A30" s="5" t="s">
        <v>73</v>
      </c>
      <c r="B30" s="5" t="s">
        <v>68</v>
      </c>
      <c r="D30" s="6" t="s">
        <v>127</v>
      </c>
      <c r="E30" s="6" t="s">
        <v>566</v>
      </c>
    </row>
    <row r="31" spans="1:5" x14ac:dyDescent="0.2">
      <c r="A31" s="5" t="s">
        <v>74</v>
      </c>
      <c r="B31" s="5" t="s">
        <v>70</v>
      </c>
      <c r="D31" s="6" t="s">
        <v>128</v>
      </c>
      <c r="E31" s="6" t="s">
        <v>96</v>
      </c>
    </row>
    <row r="32" spans="1:5" x14ac:dyDescent="0.2">
      <c r="A32" s="5" t="s">
        <v>75</v>
      </c>
      <c r="B32" s="5" t="s">
        <v>71</v>
      </c>
      <c r="D32" s="6" t="s">
        <v>129</v>
      </c>
      <c r="E32" s="6" t="s">
        <v>544</v>
      </c>
    </row>
    <row r="33" spans="1:5" x14ac:dyDescent="0.2">
      <c r="A33" s="5" t="s">
        <v>76</v>
      </c>
      <c r="B33" s="5" t="s">
        <v>72</v>
      </c>
      <c r="D33" s="6" t="s">
        <v>130</v>
      </c>
      <c r="E33" s="6" t="s">
        <v>97</v>
      </c>
    </row>
    <row r="34" spans="1:5" x14ac:dyDescent="0.2">
      <c r="A34" s="5" t="s">
        <v>77</v>
      </c>
      <c r="B34" s="5" t="s">
        <v>34</v>
      </c>
    </row>
    <row r="35" spans="1:5" x14ac:dyDescent="0.2">
      <c r="A35" s="5" t="s">
        <v>78</v>
      </c>
      <c r="B35" s="5" t="s">
        <v>35</v>
      </c>
    </row>
    <row r="36" spans="1:5" x14ac:dyDescent="0.2">
      <c r="A36" s="5" t="s">
        <v>79</v>
      </c>
      <c r="B36" s="5" t="s">
        <v>36</v>
      </c>
    </row>
    <row r="37" spans="1:5" x14ac:dyDescent="0.2">
      <c r="A37" s="5" t="s">
        <v>80</v>
      </c>
      <c r="B37" s="5" t="s">
        <v>37</v>
      </c>
    </row>
    <row r="38" spans="1:5" x14ac:dyDescent="0.2">
      <c r="A38" s="5" t="s">
        <v>81</v>
      </c>
      <c r="B38" s="5" t="s">
        <v>38</v>
      </c>
    </row>
    <row r="39" spans="1:5" x14ac:dyDescent="0.2">
      <c r="A39" s="5" t="s">
        <v>82</v>
      </c>
      <c r="B39" s="5" t="s">
        <v>39</v>
      </c>
    </row>
    <row r="40" spans="1:5" x14ac:dyDescent="0.2">
      <c r="A40" s="5" t="s">
        <v>83</v>
      </c>
      <c r="B40" s="5" t="s">
        <v>40</v>
      </c>
    </row>
    <row r="41" spans="1:5" x14ac:dyDescent="0.2">
      <c r="A41" s="5" t="s">
        <v>84</v>
      </c>
      <c r="B41" s="5" t="s">
        <v>41</v>
      </c>
    </row>
    <row r="42" spans="1:5" x14ac:dyDescent="0.2">
      <c r="A42" s="5" t="s">
        <v>85</v>
      </c>
      <c r="B42" s="5" t="s">
        <v>42</v>
      </c>
    </row>
  </sheetData>
  <dataConsolidate/>
  <phoneticPr fontId="1" type="noConversion"/>
  <conditionalFormatting sqref="B44:C1048576">
    <cfRule type="duplicateValues" dxfId="6" priority="16"/>
  </conditionalFormatting>
  <conditionalFormatting sqref="B1:C42">
    <cfRule type="duplicateValues" dxfId="5" priority="3"/>
  </conditionalFormatting>
  <conditionalFormatting sqref="B43:C43">
    <cfRule type="duplicateValues" dxfId="4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D4A905-1D1D-4247-99D0-2F7B5ADAD361}">
  <sheetPr codeName="Sheet3"/>
  <dimension ref="A1:AR131"/>
  <sheetViews>
    <sheetView workbookViewId="0">
      <pane xSplit="2" ySplit="2" topLeftCell="AF92" activePane="bottomRight" state="frozen"/>
      <selection pane="topRight" activeCell="C1" sqref="C1"/>
      <selection pane="bottomLeft" activeCell="A3" sqref="A3"/>
      <selection pane="bottomRight" activeCell="AG128" sqref="AG128"/>
    </sheetView>
  </sheetViews>
  <sheetFormatPr defaultColWidth="9" defaultRowHeight="14.25" x14ac:dyDescent="0.2"/>
  <cols>
    <col min="1" max="1" width="17.125" style="1" bestFit="1" customWidth="1"/>
    <col min="2" max="2" width="10.75" style="1" bestFit="1" customWidth="1"/>
    <col min="3" max="3" width="9.25" style="1" bestFit="1" customWidth="1"/>
    <col min="4" max="4" width="46.625" style="1" bestFit="1" customWidth="1"/>
    <col min="5" max="5" width="28.375" style="1" bestFit="1" customWidth="1"/>
    <col min="6" max="6" width="28.25" style="1" bestFit="1" customWidth="1"/>
    <col min="7" max="7" width="30.5" style="1" bestFit="1" customWidth="1"/>
    <col min="8" max="8" width="16" style="1" bestFit="1" customWidth="1"/>
    <col min="9" max="9" width="8.75" style="1" bestFit="1" customWidth="1"/>
    <col min="10" max="10" width="13" style="1" bestFit="1" customWidth="1"/>
    <col min="11" max="11" width="21.875" style="1" bestFit="1" customWidth="1"/>
    <col min="12" max="12" width="29.625" style="1" bestFit="1" customWidth="1"/>
    <col min="13" max="13" width="15.375" style="1" bestFit="1" customWidth="1"/>
    <col min="14" max="14" width="14.25" style="1" bestFit="1" customWidth="1"/>
    <col min="15" max="15" width="13.25" style="1" bestFit="1" customWidth="1"/>
    <col min="16" max="16" width="23.25" style="1" bestFit="1" customWidth="1"/>
    <col min="17" max="17" width="14.875" style="1" bestFit="1" customWidth="1"/>
    <col min="18" max="18" width="24.25" style="1" bestFit="1" customWidth="1"/>
    <col min="19" max="19" width="18.25" style="1" bestFit="1" customWidth="1"/>
    <col min="20" max="20" width="12.875" style="1" bestFit="1" customWidth="1"/>
    <col min="21" max="21" width="77.875" style="1" bestFit="1" customWidth="1"/>
    <col min="22" max="22" width="17.375" style="1" bestFit="1" customWidth="1"/>
    <col min="23" max="23" width="34.5" style="1" customWidth="1"/>
    <col min="24" max="24" width="34.5" style="1" bestFit="1" customWidth="1"/>
    <col min="25" max="25" width="51.125" style="1" bestFit="1" customWidth="1"/>
    <col min="26" max="26" width="33.875" style="1" bestFit="1" customWidth="1"/>
    <col min="27" max="27" width="23.5" style="8" bestFit="1" customWidth="1"/>
    <col min="28" max="28" width="28.875" style="8" bestFit="1" customWidth="1"/>
    <col min="29" max="29" width="92.75" style="8" bestFit="1" customWidth="1"/>
    <col min="30" max="30" width="82.25" style="8" bestFit="1" customWidth="1"/>
    <col min="31" max="31" width="71.25" style="8" bestFit="1" customWidth="1"/>
    <col min="32" max="32" width="61.5" style="8" bestFit="1" customWidth="1"/>
    <col min="33" max="33" width="59.125" style="8" bestFit="1" customWidth="1"/>
    <col min="34" max="34" width="74.75" style="8" bestFit="1" customWidth="1"/>
    <col min="35" max="35" width="51.5" style="10" bestFit="1" customWidth="1"/>
    <col min="36" max="36" width="48.375" style="10" bestFit="1" customWidth="1"/>
    <col min="37" max="37" width="70.5" style="10" bestFit="1" customWidth="1"/>
    <col min="38" max="38" width="22.75" style="10" bestFit="1" customWidth="1"/>
    <col min="39" max="39" width="74.75" style="10" bestFit="1" customWidth="1"/>
    <col min="40" max="40" width="16.75" style="10" bestFit="1" customWidth="1"/>
    <col min="41" max="41" width="13.75" style="10" bestFit="1" customWidth="1"/>
    <col min="42" max="42" width="12.875" style="1" bestFit="1" customWidth="1"/>
    <col min="43" max="43" width="25.625" style="1" bestFit="1" customWidth="1"/>
    <col min="44" max="44" width="13.625" style="1" bestFit="1" customWidth="1"/>
    <col min="45" max="16384" width="9" style="1"/>
  </cols>
  <sheetData>
    <row r="1" spans="1:44" s="4" customFormat="1" x14ac:dyDescent="0.2">
      <c r="A1" s="4" t="s">
        <v>157</v>
      </c>
      <c r="B1" s="4" t="s">
        <v>158</v>
      </c>
      <c r="C1" s="4" t="s">
        <v>159</v>
      </c>
      <c r="D1" s="4" t="s">
        <v>160</v>
      </c>
      <c r="E1" s="4" t="s">
        <v>161</v>
      </c>
      <c r="F1" s="4" t="s">
        <v>162</v>
      </c>
      <c r="G1" s="4" t="s">
        <v>456</v>
      </c>
      <c r="H1" s="4" t="s">
        <v>461</v>
      </c>
      <c r="I1" s="4" t="s">
        <v>163</v>
      </c>
      <c r="J1" s="4" t="s">
        <v>164</v>
      </c>
      <c r="K1" s="4" t="s">
        <v>165</v>
      </c>
      <c r="L1" s="4" t="s">
        <v>166</v>
      </c>
      <c r="M1" s="4" t="s">
        <v>167</v>
      </c>
      <c r="N1" s="4" t="s">
        <v>168</v>
      </c>
      <c r="O1" s="4" t="s">
        <v>169</v>
      </c>
      <c r="P1" s="4" t="s">
        <v>170</v>
      </c>
      <c r="Q1" s="4" t="s">
        <v>171</v>
      </c>
      <c r="R1" s="4" t="s">
        <v>445</v>
      </c>
      <c r="S1" s="4" t="s">
        <v>172</v>
      </c>
      <c r="T1" s="4" t="s">
        <v>446</v>
      </c>
      <c r="U1" s="4" t="s">
        <v>173</v>
      </c>
      <c r="V1" s="4" t="s">
        <v>174</v>
      </c>
      <c r="W1" s="4" t="s">
        <v>4</v>
      </c>
      <c r="X1" s="4" t="s">
        <v>175</v>
      </c>
      <c r="Y1" s="4" t="s">
        <v>176</v>
      </c>
      <c r="Z1" s="4" t="s">
        <v>177</v>
      </c>
      <c r="AA1" s="7" t="s">
        <v>178</v>
      </c>
      <c r="AB1" s="7" t="s">
        <v>179</v>
      </c>
      <c r="AC1" s="7" t="s">
        <v>180</v>
      </c>
      <c r="AD1" s="7" t="s">
        <v>180</v>
      </c>
      <c r="AE1" s="7" t="s">
        <v>180</v>
      </c>
      <c r="AF1" s="7" t="s">
        <v>180</v>
      </c>
      <c r="AG1" s="7" t="s">
        <v>180</v>
      </c>
      <c r="AH1" s="7" t="s">
        <v>180</v>
      </c>
      <c r="AI1" s="7" t="s">
        <v>180</v>
      </c>
      <c r="AJ1" s="7" t="s">
        <v>180</v>
      </c>
      <c r="AK1" s="7" t="s">
        <v>180</v>
      </c>
      <c r="AL1" s="7" t="s">
        <v>180</v>
      </c>
      <c r="AM1" s="7" t="s">
        <v>180</v>
      </c>
      <c r="AN1" s="7" t="s">
        <v>180</v>
      </c>
      <c r="AO1" s="7" t="s">
        <v>180</v>
      </c>
      <c r="AP1" s="4" t="s">
        <v>180</v>
      </c>
      <c r="AQ1" s="4" t="s">
        <v>180</v>
      </c>
    </row>
    <row r="2" spans="1:44" s="4" customFormat="1" x14ac:dyDescent="0.2">
      <c r="A2" s="4" t="s">
        <v>181</v>
      </c>
      <c r="C2" s="4" t="s">
        <v>182</v>
      </c>
      <c r="D2" s="14" t="s">
        <v>183</v>
      </c>
      <c r="E2" s="4" t="s">
        <v>184</v>
      </c>
      <c r="F2" s="4" t="s">
        <v>152</v>
      </c>
      <c r="G2" s="4" t="s">
        <v>457</v>
      </c>
      <c r="H2" s="4" t="s">
        <v>462</v>
      </c>
      <c r="I2" s="4" t="s">
        <v>185</v>
      </c>
      <c r="J2" s="4" t="s">
        <v>186</v>
      </c>
      <c r="K2" s="4" t="s">
        <v>187</v>
      </c>
      <c r="L2" s="4" t="s">
        <v>188</v>
      </c>
      <c r="M2" s="4" t="s">
        <v>189</v>
      </c>
      <c r="N2" s="4" t="s">
        <v>190</v>
      </c>
      <c r="O2" s="4" t="s">
        <v>191</v>
      </c>
      <c r="P2" s="4" t="s">
        <v>192</v>
      </c>
      <c r="Q2" s="4" t="s">
        <v>193</v>
      </c>
      <c r="R2" s="4" t="s">
        <v>444</v>
      </c>
      <c r="S2" s="4" t="s">
        <v>194</v>
      </c>
      <c r="T2" s="4" t="s">
        <v>447</v>
      </c>
      <c r="U2" s="4" t="s">
        <v>195</v>
      </c>
      <c r="V2" s="4" t="s">
        <v>196</v>
      </c>
      <c r="W2" s="4" t="s">
        <v>1</v>
      </c>
      <c r="X2" s="4" t="s">
        <v>197</v>
      </c>
      <c r="Y2" s="4" t="s">
        <v>198</v>
      </c>
      <c r="Z2" s="4" t="s">
        <v>199</v>
      </c>
      <c r="AA2" s="7" t="s">
        <v>200</v>
      </c>
      <c r="AB2" s="7" t="s">
        <v>201</v>
      </c>
      <c r="AC2" s="7" t="s">
        <v>202</v>
      </c>
      <c r="AD2" s="7" t="s">
        <v>202</v>
      </c>
      <c r="AE2" s="7" t="s">
        <v>202</v>
      </c>
      <c r="AF2" s="7" t="s">
        <v>202</v>
      </c>
      <c r="AG2" s="7" t="s">
        <v>202</v>
      </c>
      <c r="AH2" s="7" t="s">
        <v>202</v>
      </c>
      <c r="AI2" s="7" t="s">
        <v>202</v>
      </c>
      <c r="AJ2" s="7" t="s">
        <v>202</v>
      </c>
      <c r="AK2" s="7" t="s">
        <v>202</v>
      </c>
      <c r="AL2" s="7" t="s">
        <v>202</v>
      </c>
      <c r="AM2" s="7" t="s">
        <v>202</v>
      </c>
      <c r="AN2" s="7" t="s">
        <v>202</v>
      </c>
      <c r="AO2" s="7" t="s">
        <v>202</v>
      </c>
      <c r="AP2" s="4" t="s">
        <v>202</v>
      </c>
      <c r="AQ2" s="4" t="s">
        <v>202</v>
      </c>
      <c r="AR2" s="4" t="s">
        <v>429</v>
      </c>
    </row>
    <row r="3" spans="1:44" x14ac:dyDescent="0.2">
      <c r="A3" s="1" t="s">
        <v>203</v>
      </c>
      <c r="B3" s="1" t="s">
        <v>204</v>
      </c>
      <c r="C3" s="1" t="s">
        <v>205</v>
      </c>
      <c r="D3" s="1" t="str">
        <f>"abilities/heroes/"&amp;LEFT(A3,LEN(A3)-2)&amp;"/"&amp;A3</f>
        <v>abilities/heroes/omniknight/omniknight_0</v>
      </c>
      <c r="E3" s="1" t="str">
        <f>A3</f>
        <v>omniknight_0</v>
      </c>
      <c r="F3" s="1" t="s">
        <v>206</v>
      </c>
      <c r="G3" s="1" t="s">
        <v>458</v>
      </c>
      <c r="I3" s="1">
        <v>1</v>
      </c>
      <c r="Q3" s="1">
        <v>2</v>
      </c>
      <c r="R3" s="1">
        <v>1</v>
      </c>
      <c r="S3" s="1">
        <v>1</v>
      </c>
      <c r="T3" s="1">
        <v>2</v>
      </c>
      <c r="W3" s="1" t="s">
        <v>207</v>
      </c>
      <c r="X3" s="1" t="s">
        <v>208</v>
      </c>
      <c r="Y3" s="1" t="s">
        <v>209</v>
      </c>
      <c r="AA3" s="8" t="s">
        <v>210</v>
      </c>
      <c r="AC3" s="8" t="s">
        <v>211</v>
      </c>
      <c r="AD3" s="9" t="s">
        <v>212</v>
      </c>
      <c r="AE3" s="9" t="s">
        <v>213</v>
      </c>
      <c r="AF3" s="8" t="s">
        <v>214</v>
      </c>
      <c r="AG3" s="8" t="s">
        <v>588</v>
      </c>
      <c r="AH3" s="8" t="s">
        <v>310</v>
      </c>
    </row>
    <row r="4" spans="1:44" x14ac:dyDescent="0.2">
      <c r="AC4" s="8">
        <v>4</v>
      </c>
      <c r="AD4" s="11">
        <v>10</v>
      </c>
      <c r="AE4" s="11">
        <v>10</v>
      </c>
      <c r="AF4" s="8">
        <v>300</v>
      </c>
      <c r="AG4" s="8">
        <v>6</v>
      </c>
      <c r="AH4" s="8">
        <v>2</v>
      </c>
    </row>
    <row r="5" spans="1:44" s="2" customFormat="1" x14ac:dyDescent="0.2">
      <c r="A5" s="1" t="s">
        <v>215</v>
      </c>
      <c r="B5" s="2" t="s">
        <v>216</v>
      </c>
      <c r="C5" s="2" t="s">
        <v>205</v>
      </c>
      <c r="D5" s="1" t="str">
        <f>"abilities/heroes/"&amp;LEFT(A5,LEN(A5)-2)&amp;"/"&amp;A5</f>
        <v>abilities/heroes/omniknight/omniknight_1</v>
      </c>
      <c r="E5" s="1" t="str">
        <f t="shared" ref="E5" si="0">A5</f>
        <v>omniknight_1</v>
      </c>
      <c r="F5" s="2" t="s">
        <v>206</v>
      </c>
      <c r="G5" s="2" t="s">
        <v>458</v>
      </c>
      <c r="I5" s="2">
        <v>20</v>
      </c>
      <c r="J5" s="2">
        <v>1</v>
      </c>
      <c r="K5" s="2">
        <v>3</v>
      </c>
      <c r="L5" s="2" t="s">
        <v>217</v>
      </c>
      <c r="N5" s="2">
        <v>0.3</v>
      </c>
      <c r="Q5" s="2">
        <v>0</v>
      </c>
      <c r="S5" s="2">
        <v>1</v>
      </c>
      <c r="T5" s="2">
        <v>1</v>
      </c>
      <c r="U5" s="2" t="s">
        <v>218</v>
      </c>
      <c r="W5" s="1" t="s">
        <v>88</v>
      </c>
      <c r="X5" s="2" t="s">
        <v>208</v>
      </c>
      <c r="Y5" s="1" t="s">
        <v>209</v>
      </c>
      <c r="AA5" s="12" t="s">
        <v>210</v>
      </c>
      <c r="AB5" s="12"/>
      <c r="AC5" s="12" t="s">
        <v>219</v>
      </c>
      <c r="AD5" s="12" t="s">
        <v>213</v>
      </c>
      <c r="AE5" s="12" t="s">
        <v>220</v>
      </c>
      <c r="AF5" s="12" t="s">
        <v>211</v>
      </c>
      <c r="AG5" s="12" t="s">
        <v>221</v>
      </c>
      <c r="AH5" s="12" t="s">
        <v>222</v>
      </c>
      <c r="AI5" s="13" t="s">
        <v>223</v>
      </c>
      <c r="AJ5" s="13" t="s">
        <v>589</v>
      </c>
      <c r="AK5" s="13"/>
      <c r="AL5" s="13"/>
      <c r="AM5" s="13"/>
      <c r="AN5" s="13"/>
      <c r="AO5" s="13"/>
    </row>
    <row r="6" spans="1:44" s="2" customFormat="1" x14ac:dyDescent="0.2">
      <c r="D6" s="1"/>
      <c r="E6" s="1"/>
      <c r="AA6" s="12"/>
      <c r="AB6" s="12"/>
      <c r="AC6" s="12" t="s">
        <v>343</v>
      </c>
      <c r="AD6" s="12" t="s">
        <v>347</v>
      </c>
      <c r="AE6" s="12">
        <v>400</v>
      </c>
      <c r="AF6" s="12">
        <v>2</v>
      </c>
      <c r="AG6" s="12">
        <v>3</v>
      </c>
      <c r="AH6" s="12">
        <v>8</v>
      </c>
      <c r="AI6" s="13">
        <v>4</v>
      </c>
      <c r="AJ6" s="13">
        <v>25</v>
      </c>
      <c r="AK6" s="13"/>
      <c r="AL6" s="13"/>
      <c r="AM6" s="13"/>
      <c r="AN6" s="13"/>
      <c r="AO6" s="13"/>
    </row>
    <row r="7" spans="1:44" x14ac:dyDescent="0.2">
      <c r="A7" s="1" t="s">
        <v>224</v>
      </c>
      <c r="B7" s="1" t="s">
        <v>225</v>
      </c>
      <c r="C7" s="1" t="s">
        <v>205</v>
      </c>
      <c r="D7" s="1" t="str">
        <f t="shared" ref="D7" si="1">"abilities/heroes/"&amp;LEFT(A7,LEN(A7)-2)&amp;"/"&amp;A7</f>
        <v>abilities/heroes/omniknight/omniknight_2</v>
      </c>
      <c r="E7" s="1" t="str">
        <f t="shared" ref="E7" si="2">A7</f>
        <v>omniknight_2</v>
      </c>
      <c r="F7" s="1" t="s">
        <v>206</v>
      </c>
      <c r="I7" s="1">
        <v>20</v>
      </c>
      <c r="J7" s="1">
        <v>1</v>
      </c>
      <c r="K7" s="1">
        <v>3</v>
      </c>
      <c r="L7" s="1" t="s">
        <v>226</v>
      </c>
      <c r="M7" s="1">
        <v>600</v>
      </c>
      <c r="N7" s="1">
        <v>0.3</v>
      </c>
      <c r="Q7" s="1">
        <v>60</v>
      </c>
      <c r="S7" s="1">
        <v>1</v>
      </c>
      <c r="T7" s="1">
        <v>3</v>
      </c>
      <c r="V7" s="2"/>
      <c r="W7" s="1" t="s">
        <v>89</v>
      </c>
      <c r="X7" s="1" t="s">
        <v>227</v>
      </c>
      <c r="Y7" s="1" t="s">
        <v>209</v>
      </c>
      <c r="Z7" s="2"/>
      <c r="AC7" s="8" t="s">
        <v>220</v>
      </c>
      <c r="AD7" s="8" t="s">
        <v>233</v>
      </c>
      <c r="AE7" s="8" t="s">
        <v>234</v>
      </c>
      <c r="AF7" s="8" t="s">
        <v>235</v>
      </c>
      <c r="AG7" s="8" t="s">
        <v>228</v>
      </c>
      <c r="AH7" s="8" t="s">
        <v>229</v>
      </c>
      <c r="AI7" s="10" t="s">
        <v>230</v>
      </c>
      <c r="AJ7" s="10" t="s">
        <v>231</v>
      </c>
      <c r="AK7" s="10" t="s">
        <v>212</v>
      </c>
      <c r="AL7" s="10" t="s">
        <v>232</v>
      </c>
      <c r="AM7" s="10" t="s">
        <v>590</v>
      </c>
      <c r="AN7" s="10" t="s">
        <v>312</v>
      </c>
    </row>
    <row r="8" spans="1:44" x14ac:dyDescent="0.2">
      <c r="AC8" s="8">
        <v>600</v>
      </c>
      <c r="AD8" s="8">
        <v>1</v>
      </c>
      <c r="AE8" s="8">
        <v>3</v>
      </c>
      <c r="AF8" s="8">
        <v>10</v>
      </c>
      <c r="AG8" s="8">
        <v>3</v>
      </c>
      <c r="AH8" s="8" t="s">
        <v>348</v>
      </c>
      <c r="AI8" s="10" t="s">
        <v>351</v>
      </c>
      <c r="AJ8" s="10" t="s">
        <v>352</v>
      </c>
      <c r="AK8" s="10" t="s">
        <v>353</v>
      </c>
      <c r="AL8" s="10">
        <v>40</v>
      </c>
      <c r="AM8" s="10">
        <v>50</v>
      </c>
      <c r="AN8" s="10">
        <v>15</v>
      </c>
    </row>
    <row r="9" spans="1:44" s="2" customFormat="1" x14ac:dyDescent="0.2">
      <c r="A9" s="1" t="s">
        <v>236</v>
      </c>
      <c r="B9" s="2" t="s">
        <v>237</v>
      </c>
      <c r="C9" s="2" t="s">
        <v>205</v>
      </c>
      <c r="D9" s="1" t="str">
        <f t="shared" ref="D9" si="3">"abilities/heroes/"&amp;LEFT(A9,LEN(A9)-2)&amp;"/"&amp;A9</f>
        <v>abilities/heroes/omniknight/omniknight_3</v>
      </c>
      <c r="E9" s="1" t="str">
        <f t="shared" ref="E9" si="4">A9</f>
        <v>omniknight_3</v>
      </c>
      <c r="F9" s="2" t="s">
        <v>206</v>
      </c>
      <c r="G9" s="2" t="s">
        <v>458</v>
      </c>
      <c r="I9" s="2">
        <v>20</v>
      </c>
      <c r="J9" s="2">
        <v>1</v>
      </c>
      <c r="K9" s="2">
        <v>3</v>
      </c>
      <c r="U9" s="1"/>
      <c r="W9" s="1" t="s">
        <v>0</v>
      </c>
      <c r="AA9" s="12" t="s">
        <v>210</v>
      </c>
      <c r="AB9" s="12"/>
      <c r="AC9" s="12" t="s">
        <v>238</v>
      </c>
      <c r="AD9" s="12" t="s">
        <v>239</v>
      </c>
      <c r="AE9" s="12" t="s">
        <v>373</v>
      </c>
      <c r="AF9" s="12" t="s">
        <v>240</v>
      </c>
      <c r="AG9" s="12" t="s">
        <v>241</v>
      </c>
      <c r="AH9" s="12" t="s">
        <v>242</v>
      </c>
      <c r="AI9" s="13"/>
      <c r="AJ9" s="13"/>
      <c r="AK9" s="13"/>
      <c r="AL9" s="13"/>
      <c r="AM9" s="13"/>
      <c r="AN9" s="13"/>
      <c r="AO9" s="13"/>
    </row>
    <row r="10" spans="1:44" s="2" customFormat="1" x14ac:dyDescent="0.2">
      <c r="D10" s="1"/>
      <c r="E10" s="1"/>
      <c r="AA10" s="12"/>
      <c r="AB10" s="12"/>
      <c r="AC10" s="12" t="s">
        <v>372</v>
      </c>
      <c r="AD10" s="12" t="s">
        <v>339</v>
      </c>
      <c r="AE10" s="12" t="s">
        <v>354</v>
      </c>
      <c r="AF10" s="12">
        <v>1</v>
      </c>
      <c r="AG10" s="12">
        <v>1</v>
      </c>
      <c r="AH10" s="12">
        <v>8</v>
      </c>
      <c r="AI10" s="13"/>
      <c r="AJ10" s="13"/>
      <c r="AK10" s="13"/>
      <c r="AL10" s="13"/>
      <c r="AM10" s="13"/>
      <c r="AN10" s="13"/>
      <c r="AO10" s="13"/>
    </row>
    <row r="11" spans="1:44" x14ac:dyDescent="0.2">
      <c r="A11" s="1" t="s">
        <v>243</v>
      </c>
      <c r="B11" s="3" t="s">
        <v>244</v>
      </c>
      <c r="C11" s="1" t="s">
        <v>205</v>
      </c>
      <c r="D11" s="1" t="str">
        <f t="shared" ref="D11" si="5">"abilities/heroes/"&amp;LEFT(A11,LEN(A11)-2)&amp;"/"&amp;A11</f>
        <v>abilities/heroes/omniknight/omniknight_4</v>
      </c>
      <c r="E11" s="1" t="str">
        <f t="shared" ref="E11:E21" si="6">A11</f>
        <v>omniknight_4</v>
      </c>
      <c r="F11" s="1" t="s">
        <v>245</v>
      </c>
      <c r="G11" s="1" t="s">
        <v>459</v>
      </c>
      <c r="I11" s="1">
        <v>8</v>
      </c>
      <c r="J11" s="1">
        <v>8</v>
      </c>
      <c r="K11" s="1">
        <v>24</v>
      </c>
      <c r="N11" s="1">
        <v>0</v>
      </c>
      <c r="S11" s="1">
        <v>1</v>
      </c>
      <c r="T11" s="1">
        <v>4</v>
      </c>
      <c r="U11" s="1" t="s">
        <v>338</v>
      </c>
      <c r="W11" s="1" t="s">
        <v>246</v>
      </c>
      <c r="X11" s="1" t="s">
        <v>208</v>
      </c>
      <c r="Y11" s="1" t="s">
        <v>209</v>
      </c>
      <c r="AA11" s="8" t="s">
        <v>210</v>
      </c>
      <c r="AC11" s="8" t="s">
        <v>251</v>
      </c>
      <c r="AD11" s="8" t="s">
        <v>252</v>
      </c>
      <c r="AE11" s="8" t="s">
        <v>253</v>
      </c>
      <c r="AF11" s="8" t="s">
        <v>254</v>
      </c>
      <c r="AG11" s="8" t="s">
        <v>255</v>
      </c>
      <c r="AH11" s="8" t="s">
        <v>256</v>
      </c>
      <c r="AI11" s="10" t="s">
        <v>257</v>
      </c>
      <c r="AJ11" s="10" t="s">
        <v>258</v>
      </c>
      <c r="AK11" s="10" t="s">
        <v>235</v>
      </c>
      <c r="AL11" s="10" t="s">
        <v>247</v>
      </c>
      <c r="AM11" s="10" t="s">
        <v>248</v>
      </c>
      <c r="AN11" s="10" t="s">
        <v>249</v>
      </c>
      <c r="AO11" s="10" t="s">
        <v>250</v>
      </c>
      <c r="AP11" s="1" t="s">
        <v>506</v>
      </c>
      <c r="AQ11" s="1" t="s">
        <v>238</v>
      </c>
    </row>
    <row r="12" spans="1:44" x14ac:dyDescent="0.2">
      <c r="B12" s="3"/>
      <c r="AC12" s="8" t="s">
        <v>259</v>
      </c>
      <c r="AD12" s="8" t="s">
        <v>260</v>
      </c>
      <c r="AE12" s="8" t="s">
        <v>261</v>
      </c>
      <c r="AF12" s="8" t="s">
        <v>262</v>
      </c>
      <c r="AG12" s="8" t="s">
        <v>576</v>
      </c>
      <c r="AH12" s="8" t="s">
        <v>577</v>
      </c>
      <c r="AI12" s="10">
        <v>0.5</v>
      </c>
      <c r="AJ12" s="10">
        <v>1</v>
      </c>
      <c r="AK12" s="10">
        <v>10</v>
      </c>
      <c r="AL12" s="10">
        <v>600</v>
      </c>
      <c r="AM12" s="10" t="s">
        <v>262</v>
      </c>
      <c r="AN12" s="10">
        <v>4</v>
      </c>
      <c r="AO12" s="10">
        <v>30</v>
      </c>
      <c r="AP12" s="1">
        <v>0.3</v>
      </c>
      <c r="AQ12" s="1" t="s">
        <v>507</v>
      </c>
    </row>
    <row r="13" spans="1:44" s="2" customFormat="1" x14ac:dyDescent="0.2">
      <c r="A13" s="2" t="s">
        <v>263</v>
      </c>
      <c r="B13" s="2" t="s">
        <v>264</v>
      </c>
      <c r="C13" s="2" t="s">
        <v>205</v>
      </c>
      <c r="D13" s="1" t="str">
        <f>"abilities/heroes/"&amp;LEFT(A13,LEN(A13)-2)&amp;"/"&amp;A13</f>
        <v>abilities/heroes/templar_assassin/templar_assassin_0</v>
      </c>
      <c r="E13" s="1" t="str">
        <f t="shared" si="6"/>
        <v>templar_assassin_0</v>
      </c>
      <c r="F13" s="2" t="s">
        <v>206</v>
      </c>
      <c r="G13" s="2" t="s">
        <v>460</v>
      </c>
      <c r="H13" s="2" t="s">
        <v>463</v>
      </c>
      <c r="I13" s="2">
        <v>1</v>
      </c>
      <c r="O13" s="2">
        <v>3</v>
      </c>
      <c r="P13" s="2">
        <v>6</v>
      </c>
      <c r="Q13" s="2">
        <v>0</v>
      </c>
      <c r="S13" s="2">
        <v>1</v>
      </c>
      <c r="T13" s="2">
        <v>2</v>
      </c>
      <c r="W13" s="2" t="s">
        <v>265</v>
      </c>
      <c r="AA13" s="12"/>
      <c r="AB13" s="12"/>
      <c r="AC13" s="12" t="s">
        <v>222</v>
      </c>
      <c r="AD13" s="12" t="s">
        <v>221</v>
      </c>
      <c r="AE13" s="12" t="s">
        <v>266</v>
      </c>
      <c r="AF13" s="12" t="s">
        <v>235</v>
      </c>
      <c r="AG13" s="12" t="s">
        <v>214</v>
      </c>
      <c r="AH13" s="12"/>
      <c r="AI13" s="13"/>
      <c r="AJ13" s="13"/>
      <c r="AK13" s="13"/>
      <c r="AL13" s="13"/>
      <c r="AM13" s="13"/>
      <c r="AN13" s="13"/>
      <c r="AO13" s="13"/>
    </row>
    <row r="14" spans="1:44" s="2" customFormat="1" x14ac:dyDescent="0.2">
      <c r="D14" s="1"/>
      <c r="E14" s="1"/>
      <c r="AA14" s="12"/>
      <c r="AB14" s="12"/>
      <c r="AC14" s="12">
        <v>6</v>
      </c>
      <c r="AD14" s="12">
        <v>3</v>
      </c>
      <c r="AE14" s="12">
        <v>3</v>
      </c>
      <c r="AF14" s="12">
        <v>10</v>
      </c>
      <c r="AG14" s="12">
        <v>300</v>
      </c>
      <c r="AH14" s="12"/>
      <c r="AI14" s="13"/>
      <c r="AJ14" s="13"/>
      <c r="AK14" s="13"/>
      <c r="AL14" s="13"/>
      <c r="AM14" s="13"/>
      <c r="AN14" s="13"/>
      <c r="AO14" s="13"/>
    </row>
    <row r="15" spans="1:44" x14ac:dyDescent="0.2">
      <c r="A15" s="1" t="s">
        <v>267</v>
      </c>
      <c r="B15" s="1" t="s">
        <v>268</v>
      </c>
      <c r="C15" s="1" t="s">
        <v>205</v>
      </c>
      <c r="D15" s="1" t="str">
        <f>"abilities/heroes/"&amp;LEFT(A15,LEN(A15)-2)&amp;"/"&amp;A15</f>
        <v>abilities/heroes/templar_assassin/templar_assassin_1</v>
      </c>
      <c r="E15" s="1" t="str">
        <f t="shared" si="6"/>
        <v>templar_assassin_1</v>
      </c>
      <c r="F15" s="2" t="s">
        <v>206</v>
      </c>
      <c r="G15" s="1" t="s">
        <v>459</v>
      </c>
      <c r="I15" s="1">
        <v>20</v>
      </c>
      <c r="J15" s="1">
        <v>1</v>
      </c>
      <c r="K15" s="1">
        <v>3</v>
      </c>
      <c r="L15" s="1" t="s">
        <v>217</v>
      </c>
      <c r="M15" s="1">
        <v>800</v>
      </c>
      <c r="N15" s="1">
        <v>0.1</v>
      </c>
      <c r="Q15" s="1">
        <v>8</v>
      </c>
      <c r="U15" s="1" t="s">
        <v>339</v>
      </c>
      <c r="W15" s="1" t="s">
        <v>5</v>
      </c>
      <c r="X15" s="1" t="s">
        <v>208</v>
      </c>
      <c r="Y15" s="1" t="s">
        <v>209</v>
      </c>
      <c r="AA15" s="8" t="s">
        <v>210</v>
      </c>
      <c r="AC15" s="8" t="s">
        <v>219</v>
      </c>
      <c r="AD15" s="8" t="s">
        <v>269</v>
      </c>
      <c r="AE15" s="8" t="s">
        <v>270</v>
      </c>
      <c r="AF15" s="8" t="s">
        <v>271</v>
      </c>
      <c r="AG15" s="8" t="s">
        <v>272</v>
      </c>
      <c r="AH15" s="8" t="s">
        <v>232</v>
      </c>
      <c r="AI15" s="10" t="s">
        <v>273</v>
      </c>
      <c r="AJ15" s="10" t="s">
        <v>274</v>
      </c>
    </row>
    <row r="16" spans="1:44" x14ac:dyDescent="0.2">
      <c r="AC16" s="8" t="s">
        <v>344</v>
      </c>
      <c r="AD16" s="8" t="s">
        <v>349</v>
      </c>
      <c r="AE16" s="8">
        <v>30</v>
      </c>
      <c r="AF16" s="8">
        <v>90</v>
      </c>
      <c r="AG16" s="8">
        <v>600</v>
      </c>
      <c r="AH16" s="8">
        <v>5</v>
      </c>
      <c r="AI16" s="10">
        <v>2000</v>
      </c>
      <c r="AJ16" s="10">
        <v>50</v>
      </c>
    </row>
    <row r="17" spans="1:41" s="2" customFormat="1" x14ac:dyDescent="0.2">
      <c r="A17" s="2" t="s">
        <v>275</v>
      </c>
      <c r="B17" s="2" t="s">
        <v>276</v>
      </c>
      <c r="C17" s="2" t="s">
        <v>205</v>
      </c>
      <c r="D17" s="1" t="str">
        <f t="shared" ref="D17" si="7">"abilities/heroes/"&amp;LEFT(A17,LEN(A17)-2)&amp;"/"&amp;A17</f>
        <v>abilities/heroes/templar_assassin/templar_assassin_2</v>
      </c>
      <c r="E17" s="1" t="str">
        <f t="shared" si="6"/>
        <v>templar_assassin_2</v>
      </c>
      <c r="F17" s="2" t="s">
        <v>206</v>
      </c>
      <c r="G17" s="2" t="s">
        <v>459</v>
      </c>
      <c r="I17" s="2">
        <v>20</v>
      </c>
      <c r="J17" s="2">
        <v>1</v>
      </c>
      <c r="K17" s="2">
        <v>3</v>
      </c>
      <c r="L17" s="2" t="s">
        <v>226</v>
      </c>
      <c r="M17" s="2">
        <v>1600</v>
      </c>
      <c r="N17" s="2">
        <v>0.1</v>
      </c>
      <c r="O17" s="2">
        <v>3</v>
      </c>
      <c r="P17" s="2">
        <v>6</v>
      </c>
      <c r="Q17" s="2">
        <v>0</v>
      </c>
      <c r="S17" s="2">
        <v>1</v>
      </c>
      <c r="T17" s="2">
        <v>3</v>
      </c>
      <c r="U17" s="2" t="s">
        <v>340</v>
      </c>
      <c r="W17" s="2" t="s">
        <v>277</v>
      </c>
      <c r="X17" s="2" t="s">
        <v>208</v>
      </c>
      <c r="Y17" s="2" t="s">
        <v>209</v>
      </c>
      <c r="AA17" s="12" t="s">
        <v>210</v>
      </c>
      <c r="AB17" s="12"/>
      <c r="AC17" s="12" t="s">
        <v>219</v>
      </c>
      <c r="AD17" s="12" t="s">
        <v>269</v>
      </c>
      <c r="AE17" s="12" t="s">
        <v>273</v>
      </c>
      <c r="AF17" s="12" t="s">
        <v>272</v>
      </c>
      <c r="AG17" s="12" t="s">
        <v>278</v>
      </c>
      <c r="AH17" s="12" t="s">
        <v>232</v>
      </c>
      <c r="AI17" s="13" t="s">
        <v>220</v>
      </c>
      <c r="AJ17" s="13" t="s">
        <v>279</v>
      </c>
      <c r="AK17" s="13"/>
      <c r="AL17" s="13"/>
      <c r="AM17" s="13"/>
      <c r="AN17" s="13"/>
      <c r="AO17" s="13"/>
    </row>
    <row r="18" spans="1:41" s="2" customFormat="1" x14ac:dyDescent="0.2">
      <c r="D18" s="1"/>
      <c r="E18" s="1"/>
      <c r="AA18" s="12"/>
      <c r="AB18" s="12"/>
      <c r="AC18" s="12" t="s">
        <v>345</v>
      </c>
      <c r="AD18" s="12" t="s">
        <v>347</v>
      </c>
      <c r="AE18" s="12">
        <v>1600</v>
      </c>
      <c r="AF18" s="12">
        <v>800</v>
      </c>
      <c r="AG18" s="12">
        <v>50</v>
      </c>
      <c r="AH18" s="12">
        <v>3</v>
      </c>
      <c r="AI18" s="13">
        <v>200</v>
      </c>
      <c r="AJ18" s="13">
        <v>30</v>
      </c>
      <c r="AK18" s="13"/>
      <c r="AL18" s="13"/>
      <c r="AM18" s="13"/>
      <c r="AN18" s="13"/>
      <c r="AO18" s="13"/>
    </row>
    <row r="19" spans="1:41" x14ac:dyDescent="0.2">
      <c r="A19" s="1" t="s">
        <v>280</v>
      </c>
      <c r="B19" s="1" t="s">
        <v>281</v>
      </c>
      <c r="C19" s="1" t="s">
        <v>205</v>
      </c>
      <c r="D19" s="1" t="str">
        <f t="shared" ref="D19" si="8">"abilities/heroes/"&amp;LEFT(A19,LEN(A19)-2)&amp;"/"&amp;A19</f>
        <v>abilities/heroes/templar_assassin/templar_assassin_3</v>
      </c>
      <c r="E19" s="1" t="str">
        <f t="shared" si="6"/>
        <v>templar_assassin_3</v>
      </c>
      <c r="F19" s="2" t="s">
        <v>206</v>
      </c>
      <c r="G19" s="1" t="s">
        <v>459</v>
      </c>
      <c r="I19" s="1">
        <v>20</v>
      </c>
      <c r="J19" s="1">
        <v>1</v>
      </c>
      <c r="K19" s="1">
        <v>3</v>
      </c>
      <c r="L19" s="1" t="s">
        <v>217</v>
      </c>
      <c r="Q19" s="1">
        <v>8</v>
      </c>
      <c r="S19" s="1">
        <v>1</v>
      </c>
      <c r="T19" s="1">
        <v>1</v>
      </c>
      <c r="U19" s="1" t="s">
        <v>341</v>
      </c>
      <c r="W19" s="1" t="s">
        <v>88</v>
      </c>
      <c r="X19" s="1" t="s">
        <v>208</v>
      </c>
      <c r="Y19" s="1" t="s">
        <v>209</v>
      </c>
      <c r="AA19" s="8" t="s">
        <v>210</v>
      </c>
      <c r="AC19" s="8" t="s">
        <v>269</v>
      </c>
      <c r="AD19" s="8" t="s">
        <v>284</v>
      </c>
      <c r="AE19" s="8" t="s">
        <v>232</v>
      </c>
      <c r="AF19" s="8" t="s">
        <v>220</v>
      </c>
      <c r="AG19" s="8" t="s">
        <v>285</v>
      </c>
      <c r="AH19" s="8" t="s">
        <v>286</v>
      </c>
      <c r="AI19" s="10" t="s">
        <v>287</v>
      </c>
      <c r="AJ19" s="10" t="s">
        <v>288</v>
      </c>
      <c r="AK19" s="10" t="s">
        <v>282</v>
      </c>
      <c r="AL19" s="10" t="s">
        <v>283</v>
      </c>
      <c r="AM19" s="10" t="s">
        <v>219</v>
      </c>
    </row>
    <row r="20" spans="1:41" x14ac:dyDescent="0.2">
      <c r="AC20" s="8" t="s">
        <v>354</v>
      </c>
      <c r="AD20" s="8" t="s">
        <v>355</v>
      </c>
      <c r="AE20" s="8">
        <v>6</v>
      </c>
      <c r="AF20" s="8">
        <v>150</v>
      </c>
      <c r="AG20" s="8">
        <v>0.25</v>
      </c>
      <c r="AH20" s="8">
        <v>300</v>
      </c>
      <c r="AI20" s="10">
        <v>1</v>
      </c>
      <c r="AJ20" s="10">
        <v>0.5</v>
      </c>
      <c r="AK20" s="10" t="s">
        <v>340</v>
      </c>
      <c r="AL20" s="10">
        <v>2</v>
      </c>
      <c r="AM20" s="10" t="s">
        <v>343</v>
      </c>
    </row>
    <row r="21" spans="1:41" s="2" customFormat="1" x14ac:dyDescent="0.2">
      <c r="A21" s="2" t="s">
        <v>289</v>
      </c>
      <c r="B21" s="2" t="s">
        <v>290</v>
      </c>
      <c r="C21" s="2" t="s">
        <v>205</v>
      </c>
      <c r="D21" s="1" t="str">
        <f t="shared" ref="D21" si="9">"abilities/heroes/"&amp;LEFT(A21,LEN(A21)-2)&amp;"/"&amp;A21</f>
        <v>abilities/heroes/templar_assassin/templar_assassin_4</v>
      </c>
      <c r="E21" s="1" t="str">
        <f t="shared" si="6"/>
        <v>templar_assassin_4</v>
      </c>
      <c r="F21" s="1" t="s">
        <v>245</v>
      </c>
      <c r="G21" s="2" t="s">
        <v>459</v>
      </c>
      <c r="I21" s="2">
        <v>8</v>
      </c>
      <c r="J21" s="2">
        <v>8</v>
      </c>
      <c r="K21" s="2">
        <v>24</v>
      </c>
      <c r="Q21" s="2">
        <v>30</v>
      </c>
      <c r="S21" s="2">
        <v>1</v>
      </c>
      <c r="T21" s="2">
        <v>4</v>
      </c>
      <c r="U21" s="2" t="s">
        <v>342</v>
      </c>
      <c r="W21" s="2" t="s">
        <v>246</v>
      </c>
      <c r="X21" s="2" t="s">
        <v>208</v>
      </c>
      <c r="Y21" s="2" t="s">
        <v>209</v>
      </c>
      <c r="AA21" s="12" t="s">
        <v>210</v>
      </c>
      <c r="AB21" s="12"/>
      <c r="AC21" s="12" t="s">
        <v>219</v>
      </c>
      <c r="AD21" s="12" t="s">
        <v>269</v>
      </c>
      <c r="AE21" s="12" t="s">
        <v>285</v>
      </c>
      <c r="AF21" s="12" t="s">
        <v>220</v>
      </c>
      <c r="AG21" s="12" t="s">
        <v>291</v>
      </c>
      <c r="AH21" s="12" t="s">
        <v>292</v>
      </c>
      <c r="AI21" s="13" t="s">
        <v>278</v>
      </c>
      <c r="AJ21" s="13" t="s">
        <v>232</v>
      </c>
      <c r="AK21" s="13" t="s">
        <v>293</v>
      </c>
      <c r="AL21" s="13"/>
      <c r="AM21" s="13"/>
      <c r="AN21" s="13"/>
      <c r="AO21" s="13"/>
    </row>
    <row r="22" spans="1:41" s="2" customFormat="1" x14ac:dyDescent="0.2">
      <c r="D22" s="1"/>
      <c r="E22" s="1"/>
      <c r="AA22" s="12"/>
      <c r="AB22" s="12"/>
      <c r="AC22" s="12" t="s">
        <v>346</v>
      </c>
      <c r="AD22" s="12" t="s">
        <v>350</v>
      </c>
      <c r="AE22" s="12">
        <v>0.2</v>
      </c>
      <c r="AF22" s="12">
        <v>600</v>
      </c>
      <c r="AG22" s="12">
        <v>2</v>
      </c>
      <c r="AH22" s="12">
        <v>80</v>
      </c>
      <c r="AI22" s="13">
        <v>100</v>
      </c>
      <c r="AJ22" s="13">
        <v>0.1</v>
      </c>
      <c r="AK22" s="13">
        <v>15</v>
      </c>
      <c r="AL22" s="13"/>
      <c r="AM22" s="13"/>
      <c r="AN22" s="13"/>
      <c r="AO22" s="13"/>
    </row>
    <row r="23" spans="1:41" x14ac:dyDescent="0.2">
      <c r="A23" s="1" t="s">
        <v>294</v>
      </c>
      <c r="B23" s="1" t="s">
        <v>337</v>
      </c>
      <c r="C23" s="1" t="s">
        <v>205</v>
      </c>
      <c r="D23" s="3" t="s">
        <v>295</v>
      </c>
      <c r="E23" s="1" t="s">
        <v>296</v>
      </c>
      <c r="F23" s="2" t="s">
        <v>206</v>
      </c>
      <c r="W23" s="1" t="s">
        <v>297</v>
      </c>
      <c r="X23" s="1" t="s">
        <v>208</v>
      </c>
      <c r="Y23" s="1" t="s">
        <v>209</v>
      </c>
      <c r="AA23" s="8" t="s">
        <v>210</v>
      </c>
      <c r="AC23" s="8" t="s">
        <v>212</v>
      </c>
      <c r="AD23" s="8" t="s">
        <v>298</v>
      </c>
      <c r="AE23" s="8" t="s">
        <v>220</v>
      </c>
      <c r="AF23" s="8" t="s">
        <v>288</v>
      </c>
      <c r="AG23" s="8" t="s">
        <v>299</v>
      </c>
    </row>
    <row r="24" spans="1:41" x14ac:dyDescent="0.2">
      <c r="D24" s="3"/>
      <c r="AC24" s="8">
        <v>25</v>
      </c>
      <c r="AD24" s="8">
        <v>5</v>
      </c>
      <c r="AE24" s="8">
        <v>300</v>
      </c>
      <c r="AF24" s="8">
        <v>0.5</v>
      </c>
      <c r="AG24" s="8">
        <v>0.01</v>
      </c>
    </row>
    <row r="25" spans="1:41" s="2" customFormat="1" x14ac:dyDescent="0.2">
      <c r="A25" s="2" t="s">
        <v>300</v>
      </c>
      <c r="C25" s="2" t="s">
        <v>205</v>
      </c>
      <c r="D25" s="2" t="s">
        <v>301</v>
      </c>
      <c r="E25" s="2" t="s">
        <v>300</v>
      </c>
      <c r="F25" s="2" t="s">
        <v>206</v>
      </c>
      <c r="W25" s="2" t="s">
        <v>302</v>
      </c>
      <c r="AA25" s="12"/>
      <c r="AB25" s="12"/>
      <c r="AC25" s="12" t="s">
        <v>303</v>
      </c>
      <c r="AD25" s="12" t="s">
        <v>282</v>
      </c>
      <c r="AE25" s="12"/>
      <c r="AF25" s="12"/>
      <c r="AG25" s="12"/>
      <c r="AH25" s="12"/>
      <c r="AI25" s="13"/>
      <c r="AJ25" s="13"/>
      <c r="AK25" s="13"/>
      <c r="AL25" s="13"/>
      <c r="AM25" s="13"/>
      <c r="AN25" s="13"/>
      <c r="AO25" s="13"/>
    </row>
    <row r="26" spans="1:41" s="2" customFormat="1" x14ac:dyDescent="0.2">
      <c r="AA26" s="12"/>
      <c r="AB26" s="12"/>
      <c r="AC26" s="12">
        <v>5</v>
      </c>
      <c r="AD26" s="12">
        <v>550</v>
      </c>
      <c r="AE26" s="12"/>
      <c r="AF26" s="12"/>
      <c r="AG26" s="12"/>
      <c r="AH26" s="12"/>
      <c r="AI26" s="13"/>
      <c r="AJ26" s="13"/>
      <c r="AK26" s="13"/>
      <c r="AL26" s="13"/>
      <c r="AM26" s="13"/>
      <c r="AN26" s="13"/>
      <c r="AO26" s="13"/>
    </row>
    <row r="27" spans="1:41" x14ac:dyDescent="0.2">
      <c r="A27" s="1" t="s">
        <v>304</v>
      </c>
      <c r="C27" s="1" t="s">
        <v>205</v>
      </c>
      <c r="D27" s="3" t="s">
        <v>305</v>
      </c>
      <c r="E27" s="1" t="s">
        <v>304</v>
      </c>
      <c r="F27" s="2" t="s">
        <v>206</v>
      </c>
      <c r="I27" s="1">
        <v>20</v>
      </c>
      <c r="J27" s="1">
        <v>1</v>
      </c>
      <c r="K27" s="1">
        <v>3</v>
      </c>
      <c r="L27" s="1" t="s">
        <v>306</v>
      </c>
      <c r="M27" s="1">
        <v>1200</v>
      </c>
      <c r="Q27" s="1">
        <v>8</v>
      </c>
      <c r="U27" s="1" t="s">
        <v>307</v>
      </c>
      <c r="W27" s="1" t="s">
        <v>308</v>
      </c>
      <c r="X27" s="1" t="s">
        <v>208</v>
      </c>
      <c r="Y27" s="1" t="s">
        <v>209</v>
      </c>
      <c r="AA27" s="8" t="s">
        <v>210</v>
      </c>
      <c r="AC27" s="8" t="s">
        <v>309</v>
      </c>
      <c r="AD27" s="8" t="s">
        <v>272</v>
      </c>
      <c r="AE27" s="8" t="s">
        <v>212</v>
      </c>
      <c r="AF27" s="8" t="s">
        <v>310</v>
      </c>
      <c r="AG27" s="8" t="s">
        <v>232</v>
      </c>
      <c r="AH27" s="8" t="s">
        <v>219</v>
      </c>
      <c r="AI27" s="10" t="s">
        <v>311</v>
      </c>
      <c r="AJ27" s="10" t="s">
        <v>220</v>
      </c>
      <c r="AK27" s="10" t="s">
        <v>312</v>
      </c>
      <c r="AL27" s="10" t="s">
        <v>313</v>
      </c>
      <c r="AM27" s="10" t="s">
        <v>314</v>
      </c>
      <c r="AN27" s="10" t="s">
        <v>273</v>
      </c>
    </row>
    <row r="28" spans="1:41" x14ac:dyDescent="0.2">
      <c r="D28" s="3"/>
      <c r="AC28" s="8">
        <v>16</v>
      </c>
      <c r="AD28" s="8">
        <v>1000</v>
      </c>
      <c r="AE28" s="8">
        <v>15</v>
      </c>
      <c r="AF28" s="8">
        <v>3</v>
      </c>
      <c r="AG28" s="8">
        <v>4</v>
      </c>
      <c r="AH28" s="8">
        <v>50</v>
      </c>
      <c r="AI28" s="10">
        <v>1.5</v>
      </c>
      <c r="AJ28" s="10">
        <v>500</v>
      </c>
      <c r="AK28" s="10">
        <v>30</v>
      </c>
      <c r="AL28" s="10">
        <v>1.5</v>
      </c>
      <c r="AM28" s="10">
        <v>50</v>
      </c>
      <c r="AN28" s="10">
        <v>900</v>
      </c>
    </row>
    <row r="29" spans="1:41" s="2" customFormat="1" x14ac:dyDescent="0.2">
      <c r="A29" s="2" t="s">
        <v>315</v>
      </c>
      <c r="C29" s="2" t="s">
        <v>205</v>
      </c>
      <c r="D29" s="2" t="s">
        <v>316</v>
      </c>
      <c r="E29" s="2" t="s">
        <v>315</v>
      </c>
      <c r="F29" s="2" t="s">
        <v>206</v>
      </c>
      <c r="I29" s="2">
        <v>20</v>
      </c>
      <c r="J29" s="2">
        <v>1</v>
      </c>
      <c r="K29" s="2">
        <v>3</v>
      </c>
      <c r="Q29" s="2">
        <v>12</v>
      </c>
      <c r="W29" s="2" t="s">
        <v>317</v>
      </c>
      <c r="X29" s="2" t="s">
        <v>208</v>
      </c>
      <c r="Y29" s="2" t="s">
        <v>209</v>
      </c>
      <c r="AA29" s="12" t="s">
        <v>210</v>
      </c>
      <c r="AB29" s="12"/>
      <c r="AC29" s="12" t="s">
        <v>232</v>
      </c>
      <c r="AD29" s="12" t="s">
        <v>318</v>
      </c>
      <c r="AE29" s="12" t="s">
        <v>319</v>
      </c>
      <c r="AF29" s="12" t="s">
        <v>320</v>
      </c>
      <c r="AG29" s="12"/>
      <c r="AH29" s="12"/>
      <c r="AI29" s="13"/>
      <c r="AJ29" s="13"/>
      <c r="AK29" s="13"/>
      <c r="AL29" s="13"/>
      <c r="AM29" s="13"/>
      <c r="AN29" s="13"/>
      <c r="AO29" s="13"/>
    </row>
    <row r="30" spans="1:41" s="2" customFormat="1" x14ac:dyDescent="0.2">
      <c r="AA30" s="12"/>
      <c r="AB30" s="12"/>
      <c r="AC30" s="12">
        <v>4</v>
      </c>
      <c r="AD30" s="12">
        <v>4</v>
      </c>
      <c r="AE30" s="12">
        <v>0.25</v>
      </c>
      <c r="AF30" s="12">
        <v>0.3</v>
      </c>
      <c r="AG30" s="12"/>
      <c r="AH30" s="12"/>
      <c r="AI30" s="13"/>
      <c r="AJ30" s="13"/>
      <c r="AK30" s="13"/>
      <c r="AL30" s="13"/>
      <c r="AM30" s="13"/>
      <c r="AN30" s="13"/>
      <c r="AO30" s="13"/>
    </row>
    <row r="31" spans="1:41" x14ac:dyDescent="0.2">
      <c r="A31" s="1" t="s">
        <v>333</v>
      </c>
      <c r="C31" s="1" t="s">
        <v>205</v>
      </c>
      <c r="D31" s="3" t="s">
        <v>336</v>
      </c>
      <c r="E31" s="1" t="s">
        <v>323</v>
      </c>
      <c r="F31" s="2" t="s">
        <v>206</v>
      </c>
      <c r="I31" s="1">
        <v>20</v>
      </c>
      <c r="J31" s="1">
        <v>1</v>
      </c>
      <c r="K31" s="1">
        <v>3</v>
      </c>
      <c r="L31" s="1" t="s">
        <v>226</v>
      </c>
      <c r="M31" s="1">
        <v>1200</v>
      </c>
      <c r="N31" s="1">
        <v>0.3</v>
      </c>
      <c r="Q31" s="1">
        <v>10</v>
      </c>
      <c r="U31" s="1">
        <v>60</v>
      </c>
      <c r="W31" s="1" t="s">
        <v>89</v>
      </c>
      <c r="X31" s="1" t="s">
        <v>208</v>
      </c>
      <c r="Y31" s="1" t="s">
        <v>209</v>
      </c>
      <c r="AA31" s="8" t="s">
        <v>210</v>
      </c>
      <c r="AC31" s="8" t="s">
        <v>219</v>
      </c>
      <c r="AD31" s="8" t="s">
        <v>298</v>
      </c>
      <c r="AE31" s="8" t="s">
        <v>232</v>
      </c>
    </row>
    <row r="32" spans="1:41" x14ac:dyDescent="0.2">
      <c r="D32" s="3"/>
      <c r="AC32" s="8">
        <v>50</v>
      </c>
      <c r="AD32" s="8">
        <v>2</v>
      </c>
      <c r="AE32" s="8">
        <v>3</v>
      </c>
    </row>
    <row r="33" spans="1:41" x14ac:dyDescent="0.2">
      <c r="A33" s="1" t="s">
        <v>334</v>
      </c>
      <c r="C33" s="1" t="s">
        <v>205</v>
      </c>
      <c r="D33" s="3" t="s">
        <v>335</v>
      </c>
      <c r="E33" s="1" t="s">
        <v>327</v>
      </c>
      <c r="F33" s="2" t="s">
        <v>206</v>
      </c>
      <c r="I33" s="1">
        <v>20</v>
      </c>
      <c r="J33" s="1">
        <v>1</v>
      </c>
      <c r="K33" s="1">
        <v>3</v>
      </c>
      <c r="L33" s="1" t="s">
        <v>226</v>
      </c>
      <c r="M33" s="1">
        <v>1200</v>
      </c>
      <c r="N33" s="1">
        <v>0.3</v>
      </c>
      <c r="Q33" s="1">
        <v>10</v>
      </c>
      <c r="U33" s="1">
        <v>60</v>
      </c>
      <c r="W33" s="1" t="s">
        <v>89</v>
      </c>
      <c r="X33" s="1" t="s">
        <v>208</v>
      </c>
      <c r="Y33" s="1" t="s">
        <v>209</v>
      </c>
      <c r="AA33" s="8" t="s">
        <v>210</v>
      </c>
      <c r="AC33" s="8" t="s">
        <v>219</v>
      </c>
      <c r="AD33" s="8" t="s">
        <v>298</v>
      </c>
      <c r="AE33" s="8" t="s">
        <v>232</v>
      </c>
    </row>
    <row r="34" spans="1:41" x14ac:dyDescent="0.2">
      <c r="D34" s="3"/>
      <c r="AC34" s="8">
        <v>50</v>
      </c>
      <c r="AD34" s="8">
        <v>2</v>
      </c>
      <c r="AE34" s="8">
        <v>3</v>
      </c>
    </row>
    <row r="35" spans="1:41" x14ac:dyDescent="0.2">
      <c r="A35" s="1" t="s">
        <v>321</v>
      </c>
      <c r="C35" s="1" t="s">
        <v>205</v>
      </c>
      <c r="D35" s="3" t="s">
        <v>322</v>
      </c>
      <c r="E35" s="1" t="s">
        <v>323</v>
      </c>
      <c r="F35" s="2" t="s">
        <v>206</v>
      </c>
      <c r="I35" s="1">
        <v>20</v>
      </c>
      <c r="J35" s="1">
        <v>1</v>
      </c>
      <c r="K35" s="1">
        <v>3</v>
      </c>
      <c r="W35" s="1" t="s">
        <v>0</v>
      </c>
      <c r="X35" s="1" t="s">
        <v>208</v>
      </c>
      <c r="Y35" s="1" t="s">
        <v>209</v>
      </c>
      <c r="AA35" s="8" t="s">
        <v>324</v>
      </c>
      <c r="AC35" s="8" t="s">
        <v>219</v>
      </c>
      <c r="AD35" s="8" t="s">
        <v>298</v>
      </c>
      <c r="AE35" s="8" t="s">
        <v>312</v>
      </c>
      <c r="AF35" s="8" t="s">
        <v>313</v>
      </c>
      <c r="AG35" s="8" t="s">
        <v>325</v>
      </c>
      <c r="AH35" s="8" t="s">
        <v>326</v>
      </c>
    </row>
    <row r="36" spans="1:41" x14ac:dyDescent="0.2">
      <c r="D36" s="3"/>
      <c r="AC36" s="8">
        <v>50</v>
      </c>
      <c r="AD36" s="8">
        <v>1.5</v>
      </c>
      <c r="AE36" s="8">
        <v>-10</v>
      </c>
      <c r="AF36" s="8">
        <v>3</v>
      </c>
      <c r="AG36" s="8">
        <v>8</v>
      </c>
      <c r="AH36" s="8">
        <v>2</v>
      </c>
    </row>
    <row r="37" spans="1:41" x14ac:dyDescent="0.2">
      <c r="A37" s="1" t="s">
        <v>327</v>
      </c>
      <c r="C37" s="1" t="s">
        <v>205</v>
      </c>
      <c r="D37" s="3" t="s">
        <v>328</v>
      </c>
      <c r="E37" s="1" t="s">
        <v>327</v>
      </c>
      <c r="F37" s="2" t="s">
        <v>206</v>
      </c>
      <c r="I37" s="1">
        <v>20</v>
      </c>
      <c r="J37" s="1">
        <v>1</v>
      </c>
      <c r="K37" s="1">
        <v>3</v>
      </c>
      <c r="W37" s="1" t="s">
        <v>329</v>
      </c>
      <c r="X37" s="1" t="s">
        <v>208</v>
      </c>
      <c r="Y37" s="1" t="s">
        <v>209</v>
      </c>
      <c r="AA37" s="8" t="s">
        <v>210</v>
      </c>
      <c r="AC37" s="8" t="s">
        <v>219</v>
      </c>
      <c r="AD37" s="8" t="s">
        <v>298</v>
      </c>
      <c r="AE37" s="8" t="s">
        <v>330</v>
      </c>
      <c r="AF37" s="8" t="s">
        <v>325</v>
      </c>
      <c r="AG37" s="8" t="s">
        <v>331</v>
      </c>
      <c r="AH37" s="8" t="s">
        <v>232</v>
      </c>
      <c r="AI37" s="10" t="s">
        <v>332</v>
      </c>
    </row>
    <row r="38" spans="1:41" x14ac:dyDescent="0.2">
      <c r="D38" s="3"/>
      <c r="AC38" s="8">
        <v>50</v>
      </c>
      <c r="AD38" s="8">
        <v>0.1</v>
      </c>
      <c r="AE38" s="8">
        <v>4</v>
      </c>
      <c r="AF38" s="8">
        <v>30</v>
      </c>
      <c r="AG38" s="8">
        <v>40</v>
      </c>
      <c r="AH38" s="8">
        <v>4</v>
      </c>
      <c r="AI38" s="10">
        <v>3</v>
      </c>
    </row>
    <row r="39" spans="1:41" x14ac:dyDescent="0.2">
      <c r="A39" s="1" t="s">
        <v>356</v>
      </c>
      <c r="B39" s="1" t="s">
        <v>337</v>
      </c>
      <c r="C39" s="1" t="s">
        <v>205</v>
      </c>
      <c r="D39" s="3" t="str">
        <f>"abilities/heroes/"&amp;LEFT(A39,LEN(A39)-2)&amp;"/"&amp;A39</f>
        <v>abilities/heroes/drow_ranger/drow_ranger_0</v>
      </c>
      <c r="E39" s="1" t="s">
        <v>296</v>
      </c>
      <c r="F39" s="2" t="s">
        <v>206</v>
      </c>
      <c r="Q39" s="1">
        <v>3</v>
      </c>
      <c r="W39" s="1" t="s">
        <v>371</v>
      </c>
      <c r="X39" s="1" t="s">
        <v>208</v>
      </c>
      <c r="Y39" s="1" t="s">
        <v>209</v>
      </c>
      <c r="AA39" s="8" t="s">
        <v>210</v>
      </c>
      <c r="AC39" s="8" t="s">
        <v>298</v>
      </c>
      <c r="AD39" s="8" t="s">
        <v>220</v>
      </c>
      <c r="AE39" s="8" t="s">
        <v>288</v>
      </c>
      <c r="AF39" s="8" t="s">
        <v>299</v>
      </c>
    </row>
    <row r="40" spans="1:41" x14ac:dyDescent="0.2">
      <c r="D40" s="3"/>
      <c r="AC40" s="8">
        <v>5</v>
      </c>
      <c r="AD40" s="8">
        <v>300</v>
      </c>
      <c r="AE40" s="8">
        <v>0.5</v>
      </c>
      <c r="AF40" s="8">
        <v>0.01</v>
      </c>
    </row>
    <row r="41" spans="1:41" x14ac:dyDescent="0.2">
      <c r="A41" s="1" t="s">
        <v>357</v>
      </c>
      <c r="C41" s="1" t="s">
        <v>205</v>
      </c>
      <c r="D41" s="3" t="str">
        <f t="shared" ref="D41" si="10">"abilities/heroes/"&amp;LEFT(A41,LEN(A41)-2)&amp;"/"&amp;A41</f>
        <v>abilities/heroes/drow_ranger/drow_ranger_1</v>
      </c>
      <c r="E41" s="1" t="s">
        <v>304</v>
      </c>
      <c r="F41" s="2" t="s">
        <v>206</v>
      </c>
      <c r="I41" s="1">
        <v>20</v>
      </c>
      <c r="J41" s="1">
        <v>1</v>
      </c>
      <c r="K41" s="1">
        <v>3</v>
      </c>
      <c r="L41" s="1" t="s">
        <v>306</v>
      </c>
      <c r="M41" s="1">
        <v>1200</v>
      </c>
      <c r="Q41" s="1">
        <v>8</v>
      </c>
      <c r="U41" s="1" t="s">
        <v>307</v>
      </c>
      <c r="W41" s="1" t="s">
        <v>308</v>
      </c>
      <c r="X41" s="1" t="s">
        <v>208</v>
      </c>
      <c r="Y41" s="1" t="s">
        <v>209</v>
      </c>
      <c r="AA41" s="8" t="s">
        <v>210</v>
      </c>
      <c r="AC41" s="8" t="s">
        <v>273</v>
      </c>
      <c r="AD41" s="8" t="s">
        <v>309</v>
      </c>
      <c r="AE41" s="8" t="s">
        <v>272</v>
      </c>
      <c r="AF41" s="8" t="s">
        <v>212</v>
      </c>
      <c r="AG41" s="8" t="s">
        <v>232</v>
      </c>
      <c r="AH41" s="8" t="s">
        <v>219</v>
      </c>
      <c r="AI41" s="10" t="s">
        <v>326</v>
      </c>
      <c r="AJ41" s="10" t="s">
        <v>325</v>
      </c>
      <c r="AK41" s="10" t="s">
        <v>311</v>
      </c>
      <c r="AL41" s="8" t="s">
        <v>220</v>
      </c>
      <c r="AM41" s="8" t="s">
        <v>312</v>
      </c>
      <c r="AN41" s="10" t="s">
        <v>313</v>
      </c>
      <c r="AO41" s="10" t="s">
        <v>314</v>
      </c>
    </row>
    <row r="42" spans="1:41" x14ac:dyDescent="0.2">
      <c r="D42" s="3"/>
      <c r="AC42" s="8">
        <v>900</v>
      </c>
      <c r="AD42" s="8">
        <v>16</v>
      </c>
      <c r="AE42" s="8">
        <v>1000</v>
      </c>
      <c r="AF42" s="8">
        <v>15</v>
      </c>
      <c r="AG42" s="8">
        <v>4</v>
      </c>
      <c r="AH42" s="8" t="s">
        <v>343</v>
      </c>
      <c r="AI42" s="10">
        <v>2</v>
      </c>
      <c r="AJ42" s="10">
        <v>8</v>
      </c>
      <c r="AK42" s="10" t="s">
        <v>368</v>
      </c>
      <c r="AL42" s="8">
        <v>500</v>
      </c>
      <c r="AM42" s="8">
        <v>30</v>
      </c>
      <c r="AN42" s="10">
        <v>1.5</v>
      </c>
      <c r="AO42" s="10">
        <v>50</v>
      </c>
    </row>
    <row r="43" spans="1:41" s="2" customFormat="1" x14ac:dyDescent="0.2">
      <c r="A43" s="2" t="s">
        <v>358</v>
      </c>
      <c r="C43" s="2" t="s">
        <v>205</v>
      </c>
      <c r="D43" s="3" t="str">
        <f t="shared" ref="D43" si="11">"abilities/heroes/"&amp;LEFT(A43,LEN(A43)-2)&amp;"/"&amp;A43</f>
        <v>abilities/heroes/drow_ranger/drow_ranger_2</v>
      </c>
      <c r="E43" s="2" t="s">
        <v>315</v>
      </c>
      <c r="F43" s="2" t="s">
        <v>206</v>
      </c>
      <c r="I43" s="2">
        <v>20</v>
      </c>
      <c r="J43" s="2">
        <v>1</v>
      </c>
      <c r="K43" s="2">
        <v>3</v>
      </c>
      <c r="Q43" s="2">
        <v>12</v>
      </c>
      <c r="U43" s="2" t="s">
        <v>340</v>
      </c>
      <c r="W43" s="2" t="s">
        <v>369</v>
      </c>
      <c r="X43" s="2" t="s">
        <v>208</v>
      </c>
      <c r="Y43" s="2" t="s">
        <v>209</v>
      </c>
      <c r="AA43" s="12" t="s">
        <v>210</v>
      </c>
      <c r="AB43" s="12"/>
      <c r="AC43" s="12" t="s">
        <v>232</v>
      </c>
      <c r="AD43" s="12" t="s">
        <v>318</v>
      </c>
      <c r="AE43" s="12" t="s">
        <v>319</v>
      </c>
      <c r="AF43" s="12" t="s">
        <v>320</v>
      </c>
      <c r="AG43" s="12"/>
      <c r="AH43" s="12"/>
      <c r="AI43" s="13"/>
      <c r="AJ43" s="13"/>
      <c r="AK43" s="13"/>
      <c r="AL43" s="13"/>
      <c r="AM43" s="13"/>
      <c r="AN43" s="13"/>
      <c r="AO43" s="13"/>
    </row>
    <row r="44" spans="1:41" s="2" customFormat="1" x14ac:dyDescent="0.2">
      <c r="D44" s="3"/>
      <c r="AA44" s="12"/>
      <c r="AB44" s="12"/>
      <c r="AC44" s="12">
        <v>6</v>
      </c>
      <c r="AD44" s="12">
        <v>4</v>
      </c>
      <c r="AE44" s="12" t="s">
        <v>368</v>
      </c>
      <c r="AF44" s="12">
        <v>0.3</v>
      </c>
      <c r="AG44" s="12"/>
      <c r="AH44" s="12"/>
      <c r="AI44" s="13"/>
      <c r="AJ44" s="13"/>
      <c r="AK44" s="13"/>
      <c r="AL44" s="13"/>
      <c r="AM44" s="13"/>
      <c r="AN44" s="13"/>
      <c r="AO44" s="13"/>
    </row>
    <row r="45" spans="1:41" x14ac:dyDescent="0.2">
      <c r="A45" s="1" t="s">
        <v>359</v>
      </c>
      <c r="C45" s="1" t="s">
        <v>205</v>
      </c>
      <c r="D45" s="3" t="str">
        <f t="shared" ref="D45" si="12">"abilities/heroes/"&amp;LEFT(A45,LEN(A45)-2)&amp;"/"&amp;A45</f>
        <v>abilities/heroes/drow_ranger/drow_ranger_3</v>
      </c>
      <c r="E45" s="1" t="s">
        <v>327</v>
      </c>
      <c r="F45" s="2" t="s">
        <v>206</v>
      </c>
      <c r="I45" s="1">
        <v>20</v>
      </c>
      <c r="J45" s="1">
        <v>1</v>
      </c>
      <c r="K45" s="1">
        <v>3</v>
      </c>
      <c r="W45" s="1" t="s">
        <v>0</v>
      </c>
      <c r="X45" s="1" t="s">
        <v>208</v>
      </c>
      <c r="Y45" s="1" t="s">
        <v>209</v>
      </c>
      <c r="AA45" s="8" t="s">
        <v>364</v>
      </c>
      <c r="AC45" s="8" t="s">
        <v>219</v>
      </c>
      <c r="AD45" s="8" t="s">
        <v>365</v>
      </c>
      <c r="AE45" s="8" t="s">
        <v>330</v>
      </c>
      <c r="AF45" s="8" t="s">
        <v>325</v>
      </c>
      <c r="AG45" s="8" t="s">
        <v>331</v>
      </c>
      <c r="AH45" s="8" t="s">
        <v>232</v>
      </c>
      <c r="AI45" s="10" t="s">
        <v>332</v>
      </c>
    </row>
    <row r="46" spans="1:41" x14ac:dyDescent="0.2">
      <c r="D46" s="3"/>
      <c r="AC46" s="8" t="s">
        <v>367</v>
      </c>
      <c r="AD46" s="8" t="s">
        <v>366</v>
      </c>
      <c r="AE46" s="8" t="s">
        <v>351</v>
      </c>
      <c r="AF46" s="8">
        <v>30</v>
      </c>
      <c r="AG46" s="8">
        <v>40</v>
      </c>
      <c r="AH46" s="8">
        <v>4</v>
      </c>
      <c r="AI46" s="10">
        <v>3</v>
      </c>
    </row>
    <row r="47" spans="1:41" x14ac:dyDescent="0.2">
      <c r="A47" s="1" t="s">
        <v>370</v>
      </c>
      <c r="B47" s="1" t="s">
        <v>360</v>
      </c>
      <c r="C47" s="1" t="s">
        <v>205</v>
      </c>
      <c r="D47" s="3" t="str">
        <f t="shared" ref="D47" si="13">"abilities/heroes/"&amp;LEFT(A47,LEN(A47)-2)&amp;"/"&amp;A47</f>
        <v>abilities/heroes/drow_ranger/drow_ranger_4</v>
      </c>
      <c r="E47" s="1" t="s">
        <v>361</v>
      </c>
      <c r="F47" s="1" t="s">
        <v>245</v>
      </c>
      <c r="G47" s="2"/>
      <c r="H47" s="2"/>
      <c r="I47" s="2">
        <v>8</v>
      </c>
      <c r="J47" s="1">
        <v>8</v>
      </c>
      <c r="K47" s="1">
        <v>24</v>
      </c>
      <c r="N47" s="1">
        <v>2</v>
      </c>
      <c r="Q47" s="1">
        <v>60</v>
      </c>
      <c r="S47" s="2"/>
      <c r="U47" s="1" t="s">
        <v>342</v>
      </c>
      <c r="W47" s="1" t="s">
        <v>89</v>
      </c>
      <c r="X47" s="1" t="s">
        <v>208</v>
      </c>
      <c r="Y47" s="1" t="s">
        <v>209</v>
      </c>
      <c r="AA47" s="8" t="s">
        <v>364</v>
      </c>
      <c r="AC47" s="8" t="s">
        <v>363</v>
      </c>
      <c r="AD47" s="8" t="s">
        <v>298</v>
      </c>
    </row>
    <row r="48" spans="1:41" x14ac:dyDescent="0.2">
      <c r="D48" s="3"/>
      <c r="AC48" s="8">
        <v>50</v>
      </c>
      <c r="AD48" s="8" t="s">
        <v>362</v>
      </c>
    </row>
    <row r="49" spans="1:44" x14ac:dyDescent="0.2">
      <c r="A49" s="1" t="s">
        <v>374</v>
      </c>
      <c r="C49" s="1" t="s">
        <v>205</v>
      </c>
      <c r="D49" s="3" t="str">
        <f>"abilities/heroes/"&amp;LEFT(A49,LEN(A49)-2)&amp;"/"&amp;A49</f>
        <v>abilities/heroes/spectre/spectre_0</v>
      </c>
      <c r="E49" s="1" t="str">
        <f>A49</f>
        <v>spectre_0</v>
      </c>
      <c r="F49" s="2" t="s">
        <v>206</v>
      </c>
      <c r="I49" s="1">
        <v>1</v>
      </c>
      <c r="Q49" s="1">
        <v>3</v>
      </c>
      <c r="R49" s="1">
        <v>1</v>
      </c>
      <c r="S49" s="1">
        <v>1</v>
      </c>
      <c r="T49" s="1">
        <v>1</v>
      </c>
      <c r="U49" s="1">
        <v>100</v>
      </c>
      <c r="W49" s="1" t="s">
        <v>297</v>
      </c>
      <c r="X49" s="1" t="s">
        <v>208</v>
      </c>
      <c r="Y49" s="1" t="s">
        <v>209</v>
      </c>
      <c r="AA49" s="8" t="s">
        <v>210</v>
      </c>
      <c r="AC49" s="8" t="s">
        <v>232</v>
      </c>
      <c r="AD49" s="8" t="s">
        <v>377</v>
      </c>
      <c r="AE49" s="8" t="s">
        <v>242</v>
      </c>
      <c r="AF49" s="8" t="s">
        <v>269</v>
      </c>
      <c r="AG49" s="8" t="s">
        <v>375</v>
      </c>
      <c r="AH49" s="8" t="s">
        <v>220</v>
      </c>
      <c r="AI49" s="10" t="s">
        <v>452</v>
      </c>
    </row>
    <row r="50" spans="1:44" x14ac:dyDescent="0.2">
      <c r="D50" s="3"/>
      <c r="AC50" s="8">
        <v>5</v>
      </c>
      <c r="AD50" s="8">
        <v>6</v>
      </c>
      <c r="AE50" s="8">
        <v>3</v>
      </c>
      <c r="AF50" s="8">
        <v>60</v>
      </c>
      <c r="AG50" s="8">
        <v>30</v>
      </c>
      <c r="AH50" s="8">
        <v>600</v>
      </c>
      <c r="AI50" s="10">
        <v>100</v>
      </c>
    </row>
    <row r="51" spans="1:44" x14ac:dyDescent="0.2">
      <c r="A51" s="1" t="s">
        <v>380</v>
      </c>
      <c r="C51" s="1" t="s">
        <v>205</v>
      </c>
      <c r="D51" s="3" t="str">
        <f t="shared" ref="D51" si="14">"abilities/heroes/"&amp;LEFT(A51,LEN(A51)-2)&amp;"/"&amp;A51</f>
        <v>abilities/heroes/spectre/spectre_1</v>
      </c>
      <c r="E51" s="1" t="str">
        <f t="shared" ref="E51" si="15">A51</f>
        <v>spectre_1</v>
      </c>
      <c r="F51" s="2" t="s">
        <v>206</v>
      </c>
      <c r="G51" s="1" t="s">
        <v>459</v>
      </c>
      <c r="I51" s="1">
        <v>20</v>
      </c>
      <c r="J51" s="1">
        <v>1</v>
      </c>
      <c r="K51" s="1">
        <v>3</v>
      </c>
      <c r="L51" s="1" t="s">
        <v>448</v>
      </c>
      <c r="Q51" s="1">
        <v>3</v>
      </c>
      <c r="U51" s="1">
        <v>100</v>
      </c>
      <c r="W51" s="1" t="s">
        <v>89</v>
      </c>
      <c r="X51" s="1" t="s">
        <v>208</v>
      </c>
      <c r="Y51" s="1" t="s">
        <v>209</v>
      </c>
      <c r="AA51" s="8" t="s">
        <v>210</v>
      </c>
      <c r="AC51" s="8" t="s">
        <v>219</v>
      </c>
      <c r="AD51" s="8" t="s">
        <v>269</v>
      </c>
      <c r="AE51" s="8" t="s">
        <v>272</v>
      </c>
      <c r="AF51" s="8" t="s">
        <v>273</v>
      </c>
      <c r="AG51" s="8" t="s">
        <v>220</v>
      </c>
      <c r="AH51" s="8" t="s">
        <v>398</v>
      </c>
      <c r="AI51" s="10" t="s">
        <v>278</v>
      </c>
      <c r="AJ51" s="10" t="s">
        <v>232</v>
      </c>
      <c r="AK51" s="10" t="s">
        <v>404</v>
      </c>
    </row>
    <row r="52" spans="1:44" x14ac:dyDescent="0.2">
      <c r="D52" s="3"/>
      <c r="AC52" s="8" t="s">
        <v>384</v>
      </c>
      <c r="AD52" s="8" t="s">
        <v>347</v>
      </c>
      <c r="AE52" s="8">
        <v>3000</v>
      </c>
      <c r="AF52" s="8">
        <v>2000</v>
      </c>
      <c r="AG52" s="8">
        <v>200</v>
      </c>
      <c r="AH52" s="8" t="s">
        <v>354</v>
      </c>
      <c r="AI52" s="10">
        <v>60</v>
      </c>
      <c r="AJ52" s="10">
        <v>10</v>
      </c>
      <c r="AK52" s="10" t="s">
        <v>405</v>
      </c>
    </row>
    <row r="53" spans="1:44" x14ac:dyDescent="0.2">
      <c r="A53" s="1" t="s">
        <v>381</v>
      </c>
      <c r="C53" s="1" t="s">
        <v>205</v>
      </c>
      <c r="D53" s="3" t="str">
        <f t="shared" ref="D53" si="16">"abilities/heroes/"&amp;LEFT(A53,LEN(A53)-2)&amp;"/"&amp;A53</f>
        <v>abilities/heroes/spectre/spectre_2</v>
      </c>
      <c r="E53" s="1" t="str">
        <f t="shared" ref="E53" si="17">A53</f>
        <v>spectre_2</v>
      </c>
      <c r="F53" s="2" t="s">
        <v>206</v>
      </c>
      <c r="G53" s="1" t="s">
        <v>459</v>
      </c>
      <c r="I53" s="1">
        <v>20</v>
      </c>
      <c r="J53" s="1">
        <v>1</v>
      </c>
      <c r="K53" s="1">
        <v>3</v>
      </c>
      <c r="L53" s="1" t="s">
        <v>410</v>
      </c>
      <c r="Q53" s="1">
        <v>10</v>
      </c>
      <c r="S53" s="1">
        <v>1</v>
      </c>
      <c r="T53" s="1">
        <v>2</v>
      </c>
      <c r="U53" s="1">
        <v>60</v>
      </c>
      <c r="W53" s="1" t="s">
        <v>88</v>
      </c>
      <c r="X53" s="1" t="s">
        <v>208</v>
      </c>
      <c r="Y53" s="1" t="s">
        <v>209</v>
      </c>
      <c r="AA53" s="8" t="s">
        <v>210</v>
      </c>
      <c r="AC53" s="8" t="s">
        <v>269</v>
      </c>
      <c r="AD53" s="8" t="s">
        <v>379</v>
      </c>
      <c r="AE53" s="8" t="s">
        <v>389</v>
      </c>
      <c r="AF53" s="8" t="s">
        <v>393</v>
      </c>
      <c r="AG53" s="8" t="s">
        <v>396</v>
      </c>
      <c r="AH53" s="8" t="s">
        <v>220</v>
      </c>
      <c r="AI53" s="10" t="s">
        <v>400</v>
      </c>
      <c r="AJ53" s="10" t="s">
        <v>401</v>
      </c>
      <c r="AK53" s="10" t="s">
        <v>450</v>
      </c>
      <c r="AL53" s="10" t="s">
        <v>453</v>
      </c>
    </row>
    <row r="54" spans="1:44" x14ac:dyDescent="0.2">
      <c r="D54" s="3"/>
      <c r="AC54" s="8" t="s">
        <v>347</v>
      </c>
      <c r="AD54" s="8" t="s">
        <v>387</v>
      </c>
      <c r="AE54" s="8">
        <v>1</v>
      </c>
      <c r="AF54" s="8" t="s">
        <v>354</v>
      </c>
      <c r="AG54" s="8" t="s">
        <v>397</v>
      </c>
      <c r="AH54" s="8">
        <v>450</v>
      </c>
      <c r="AI54" s="10">
        <v>3</v>
      </c>
      <c r="AJ54" s="10" t="s">
        <v>354</v>
      </c>
      <c r="AK54" s="10">
        <v>30</v>
      </c>
      <c r="AL54" s="10">
        <v>50</v>
      </c>
    </row>
    <row r="55" spans="1:44" x14ac:dyDescent="0.2">
      <c r="A55" s="1" t="s">
        <v>382</v>
      </c>
      <c r="C55" s="1" t="s">
        <v>205</v>
      </c>
      <c r="D55" s="3" t="str">
        <f t="shared" ref="D55" si="18">"abilities/heroes/"&amp;LEFT(A55,LEN(A55)-2)&amp;"/"&amp;A55</f>
        <v>abilities/heroes/spectre/spectre_3</v>
      </c>
      <c r="E55" s="1" t="str">
        <f t="shared" ref="E55" si="19">A55</f>
        <v>spectre_3</v>
      </c>
      <c r="F55" s="2" t="s">
        <v>206</v>
      </c>
      <c r="I55" s="1">
        <v>20</v>
      </c>
      <c r="J55" s="1">
        <v>1</v>
      </c>
      <c r="K55" s="1">
        <v>3</v>
      </c>
      <c r="S55" s="1">
        <v>1</v>
      </c>
      <c r="T55" s="1">
        <v>3</v>
      </c>
      <c r="W55" s="1" t="s">
        <v>0</v>
      </c>
      <c r="X55" s="1" t="s">
        <v>208</v>
      </c>
      <c r="Y55" s="1" t="s">
        <v>209</v>
      </c>
      <c r="AA55" s="8" t="s">
        <v>210</v>
      </c>
      <c r="AC55" s="8" t="s">
        <v>375</v>
      </c>
      <c r="AD55" s="8" t="s">
        <v>378</v>
      </c>
      <c r="AE55" s="8" t="s">
        <v>269</v>
      </c>
      <c r="AF55" s="8" t="s">
        <v>220</v>
      </c>
      <c r="AG55" s="8" t="s">
        <v>390</v>
      </c>
      <c r="AH55" s="8" t="s">
        <v>394</v>
      </c>
      <c r="AI55" s="10" t="s">
        <v>379</v>
      </c>
      <c r="AJ55" s="10" t="s">
        <v>399</v>
      </c>
      <c r="AK55" s="10" t="s">
        <v>451</v>
      </c>
      <c r="AL55" s="10" t="s">
        <v>402</v>
      </c>
      <c r="AM55" s="10" t="s">
        <v>455</v>
      </c>
    </row>
    <row r="56" spans="1:44" x14ac:dyDescent="0.2">
      <c r="D56" s="3"/>
      <c r="AC56" s="8">
        <v>1</v>
      </c>
      <c r="AD56" s="8" t="s">
        <v>407</v>
      </c>
      <c r="AE56" s="8" t="s">
        <v>385</v>
      </c>
      <c r="AF56" s="8">
        <v>350</v>
      </c>
      <c r="AG56" s="8" t="s">
        <v>391</v>
      </c>
      <c r="AH56" s="8" t="s">
        <v>352</v>
      </c>
      <c r="AI56" s="10">
        <v>0.1</v>
      </c>
      <c r="AJ56" s="10">
        <v>1200</v>
      </c>
      <c r="AK56" s="10">
        <v>0.3</v>
      </c>
      <c r="AL56" s="10">
        <v>1</v>
      </c>
      <c r="AM56" s="10">
        <v>15</v>
      </c>
    </row>
    <row r="57" spans="1:44" x14ac:dyDescent="0.2">
      <c r="A57" s="1" t="s">
        <v>376</v>
      </c>
      <c r="C57" s="1" t="s">
        <v>205</v>
      </c>
      <c r="D57" s="3" t="str">
        <f t="shared" ref="D57" si="20">"abilities/heroes/"&amp;LEFT(A57,LEN(A57)-2)&amp;"/"&amp;A57</f>
        <v>abilities/heroes/spectre/spectre_4</v>
      </c>
      <c r="E57" s="1" t="str">
        <f t="shared" ref="E57:E119" si="21">A57</f>
        <v>spectre_4</v>
      </c>
      <c r="F57" s="1" t="s">
        <v>245</v>
      </c>
      <c r="G57" s="1" t="s">
        <v>460</v>
      </c>
      <c r="I57" s="1">
        <v>8</v>
      </c>
      <c r="J57" s="1">
        <v>8</v>
      </c>
      <c r="K57" s="1">
        <v>24</v>
      </c>
      <c r="L57" s="1" t="s">
        <v>448</v>
      </c>
      <c r="M57" s="1">
        <v>1200</v>
      </c>
      <c r="Q57" s="1">
        <v>60</v>
      </c>
      <c r="S57" s="1">
        <v>1</v>
      </c>
      <c r="T57" s="1">
        <v>4</v>
      </c>
      <c r="U57" s="1">
        <v>300</v>
      </c>
      <c r="W57" s="1" t="s">
        <v>5</v>
      </c>
      <c r="X57" s="1" t="s">
        <v>208</v>
      </c>
      <c r="Y57" s="1" t="s">
        <v>209</v>
      </c>
      <c r="AA57" s="8" t="s">
        <v>210</v>
      </c>
      <c r="AC57" s="8" t="s">
        <v>269</v>
      </c>
      <c r="AD57" s="8" t="s">
        <v>388</v>
      </c>
      <c r="AE57" s="8" t="s">
        <v>392</v>
      </c>
      <c r="AF57" s="8" t="s">
        <v>395</v>
      </c>
      <c r="AG57" s="8" t="s">
        <v>232</v>
      </c>
      <c r="AH57" s="8" t="s">
        <v>211</v>
      </c>
      <c r="AI57" s="10" t="s">
        <v>220</v>
      </c>
      <c r="AJ57" s="10" t="s">
        <v>403</v>
      </c>
      <c r="AK57" s="10" t="s">
        <v>406</v>
      </c>
      <c r="AL57" s="10" t="s">
        <v>454</v>
      </c>
    </row>
    <row r="58" spans="1:44" x14ac:dyDescent="0.2">
      <c r="D58" s="3"/>
      <c r="AC58" s="8" t="s">
        <v>386</v>
      </c>
      <c r="AD58" s="8">
        <v>30</v>
      </c>
      <c r="AE58" s="8">
        <v>4</v>
      </c>
      <c r="AF58" s="8">
        <v>30</v>
      </c>
      <c r="AG58" s="8">
        <v>30</v>
      </c>
      <c r="AH58" s="8">
        <v>2.5</v>
      </c>
      <c r="AI58" s="10">
        <v>450</v>
      </c>
      <c r="AJ58" s="10">
        <v>50</v>
      </c>
      <c r="AK58" s="10">
        <v>1.4</v>
      </c>
      <c r="AL58" s="10">
        <v>50</v>
      </c>
    </row>
    <row r="59" spans="1:44" x14ac:dyDescent="0.2">
      <c r="A59" s="1" t="s">
        <v>408</v>
      </c>
      <c r="C59" s="1" t="s">
        <v>205</v>
      </c>
      <c r="D59" s="3" t="s">
        <v>383</v>
      </c>
      <c r="E59" s="1" t="str">
        <f t="shared" si="21"/>
        <v>spectre_1_0</v>
      </c>
      <c r="L59" s="1" t="s">
        <v>449</v>
      </c>
      <c r="W59" s="1" t="s">
        <v>302</v>
      </c>
    </row>
    <row r="61" spans="1:44" x14ac:dyDescent="0.2">
      <c r="A61" s="1" t="s">
        <v>430</v>
      </c>
      <c r="B61" s="1" t="s">
        <v>431</v>
      </c>
      <c r="C61" s="1" t="s">
        <v>205</v>
      </c>
      <c r="D61" s="1" t="str">
        <f>"abilities/heroes/"&amp;LEFT(A61,LEN(A61)-2)&amp;"/"&amp;A61</f>
        <v>abilities/heroes/juggernaut/juggernaut_0</v>
      </c>
      <c r="E61" s="1" t="str">
        <f t="shared" si="21"/>
        <v>juggernaut_0</v>
      </c>
      <c r="F61" s="1" t="s">
        <v>206</v>
      </c>
      <c r="G61" s="1" t="s">
        <v>459</v>
      </c>
      <c r="I61" s="1">
        <v>1</v>
      </c>
      <c r="Q61" s="1">
        <v>10</v>
      </c>
      <c r="S61" s="1">
        <v>1</v>
      </c>
      <c r="T61" s="1">
        <v>1</v>
      </c>
      <c r="W61" s="1" t="s">
        <v>369</v>
      </c>
      <c r="AC61" s="8" t="s">
        <v>232</v>
      </c>
      <c r="AD61" s="8" t="s">
        <v>414</v>
      </c>
      <c r="AE61" s="8" t="s">
        <v>418</v>
      </c>
      <c r="AR61" s="1">
        <v>6</v>
      </c>
    </row>
    <row r="62" spans="1:44" x14ac:dyDescent="0.2">
      <c r="AC62" s="8">
        <v>4</v>
      </c>
      <c r="AD62" s="8">
        <v>400</v>
      </c>
      <c r="AE62" s="8">
        <v>100</v>
      </c>
    </row>
    <row r="63" spans="1:44" x14ac:dyDescent="0.2">
      <c r="A63" s="1" t="s">
        <v>439</v>
      </c>
      <c r="B63" s="1" t="s">
        <v>432</v>
      </c>
      <c r="C63" s="1" t="s">
        <v>205</v>
      </c>
      <c r="D63" s="1" t="str">
        <f t="shared" ref="D63" si="22">"abilities/heroes/"&amp;LEFT(A63,LEN(A63)-2)&amp;"/"&amp;A63</f>
        <v>abilities/heroes/juggernaut/juggernaut_1</v>
      </c>
      <c r="E63" s="1" t="str">
        <f t="shared" si="21"/>
        <v>juggernaut_1</v>
      </c>
      <c r="F63" s="1" t="s">
        <v>206</v>
      </c>
      <c r="G63" s="1" t="s">
        <v>460</v>
      </c>
      <c r="H63" s="1" t="s">
        <v>464</v>
      </c>
      <c r="I63" s="1">
        <v>20</v>
      </c>
      <c r="J63" s="1">
        <v>1</v>
      </c>
      <c r="K63" s="1">
        <v>3</v>
      </c>
      <c r="L63" s="1" t="s">
        <v>409</v>
      </c>
      <c r="Q63" s="1">
        <v>12</v>
      </c>
      <c r="S63" s="1">
        <v>1</v>
      </c>
      <c r="T63" s="1">
        <v>2</v>
      </c>
      <c r="U63" s="1" t="s">
        <v>372</v>
      </c>
      <c r="W63" s="1" t="s">
        <v>411</v>
      </c>
      <c r="X63" s="1" t="s">
        <v>208</v>
      </c>
      <c r="Y63" s="1" t="s">
        <v>209</v>
      </c>
      <c r="AA63" s="8" t="s">
        <v>364</v>
      </c>
      <c r="AC63" s="8" t="s">
        <v>219</v>
      </c>
      <c r="AD63" s="8" t="s">
        <v>653</v>
      </c>
      <c r="AE63" s="8" t="s">
        <v>419</v>
      </c>
      <c r="AF63" s="8" t="s">
        <v>418</v>
      </c>
      <c r="AG63" s="8" t="s">
        <v>278</v>
      </c>
      <c r="AH63" s="8" t="s">
        <v>232</v>
      </c>
      <c r="AI63" s="10" t="s">
        <v>427</v>
      </c>
      <c r="AJ63" s="10" t="s">
        <v>428</v>
      </c>
    </row>
    <row r="64" spans="1:44" x14ac:dyDescent="0.2">
      <c r="AC64" s="8" t="s">
        <v>345</v>
      </c>
      <c r="AD64" s="8" t="s">
        <v>368</v>
      </c>
      <c r="AE64" s="8">
        <v>600</v>
      </c>
      <c r="AF64" s="8">
        <v>100</v>
      </c>
      <c r="AG64" s="8">
        <v>80</v>
      </c>
      <c r="AH64" s="8">
        <v>4</v>
      </c>
      <c r="AI64" s="10">
        <v>0.2</v>
      </c>
      <c r="AJ64" s="10">
        <v>30</v>
      </c>
    </row>
    <row r="65" spans="1:44" x14ac:dyDescent="0.2">
      <c r="A65" s="1" t="s">
        <v>440</v>
      </c>
      <c r="B65" s="1" t="s">
        <v>433</v>
      </c>
      <c r="C65" s="1" t="s">
        <v>205</v>
      </c>
      <c r="D65" s="1" t="str">
        <f t="shared" ref="D65" si="23">"abilities/heroes/"&amp;LEFT(A65,LEN(A65)-2)&amp;"/"&amp;A65</f>
        <v>abilities/heroes/juggernaut/juggernaut_2</v>
      </c>
      <c r="E65" s="1" t="str">
        <f t="shared" si="21"/>
        <v>juggernaut_2</v>
      </c>
      <c r="F65" s="1" t="s">
        <v>206</v>
      </c>
      <c r="H65" s="1" t="s">
        <v>464</v>
      </c>
      <c r="I65" s="1">
        <v>20</v>
      </c>
      <c r="J65" s="1">
        <v>1</v>
      </c>
      <c r="K65" s="1">
        <v>3</v>
      </c>
      <c r="Q65" s="1">
        <v>30</v>
      </c>
      <c r="U65" s="1" t="s">
        <v>372</v>
      </c>
      <c r="W65" s="1" t="s">
        <v>369</v>
      </c>
      <c r="AB65" s="8" t="s">
        <v>412</v>
      </c>
      <c r="AC65" s="8" t="s">
        <v>232</v>
      </c>
      <c r="AD65" s="8" t="s">
        <v>415</v>
      </c>
      <c r="AE65" s="8" t="s">
        <v>420</v>
      </c>
      <c r="AF65" s="8" t="s">
        <v>422</v>
      </c>
      <c r="AG65" s="8" t="s">
        <v>469</v>
      </c>
      <c r="AR65" s="1">
        <v>10</v>
      </c>
    </row>
    <row r="66" spans="1:44" x14ac:dyDescent="0.2">
      <c r="AC66" s="8">
        <v>30</v>
      </c>
      <c r="AD66" s="8" t="s">
        <v>416</v>
      </c>
      <c r="AE66" s="8">
        <v>-1025</v>
      </c>
      <c r="AF66" s="8" t="s">
        <v>423</v>
      </c>
      <c r="AG66" s="8">
        <v>0.3</v>
      </c>
    </row>
    <row r="67" spans="1:44" x14ac:dyDescent="0.2">
      <c r="A67" s="1" t="s">
        <v>441</v>
      </c>
      <c r="B67" s="1" t="s">
        <v>434</v>
      </c>
      <c r="C67" s="1" t="s">
        <v>205</v>
      </c>
      <c r="D67" s="1" t="str">
        <f t="shared" ref="D67" si="24">"abilities/heroes/"&amp;LEFT(A67,LEN(A67)-2)&amp;"/"&amp;A67</f>
        <v>abilities/heroes/juggernaut/juggernaut_3</v>
      </c>
      <c r="E67" s="1" t="str">
        <f t="shared" si="21"/>
        <v>juggernaut_3</v>
      </c>
      <c r="F67" s="1" t="s">
        <v>206</v>
      </c>
      <c r="G67" s="1" t="s">
        <v>460</v>
      </c>
      <c r="I67" s="1">
        <v>20</v>
      </c>
      <c r="J67" s="1">
        <v>1</v>
      </c>
      <c r="K67" s="1">
        <v>3</v>
      </c>
      <c r="S67" s="1">
        <v>1</v>
      </c>
      <c r="T67" s="1" t="s">
        <v>465</v>
      </c>
      <c r="W67" s="1" t="s">
        <v>0</v>
      </c>
      <c r="X67" s="1" t="s">
        <v>208</v>
      </c>
      <c r="Y67" s="1" t="s">
        <v>209</v>
      </c>
      <c r="AA67" s="8" t="s">
        <v>364</v>
      </c>
      <c r="AC67" s="8" t="s">
        <v>269</v>
      </c>
      <c r="AD67" s="8" t="s">
        <v>219</v>
      </c>
      <c r="AE67" s="8" t="s">
        <v>421</v>
      </c>
      <c r="AF67" s="8" t="s">
        <v>232</v>
      </c>
      <c r="AG67" s="8" t="s">
        <v>220</v>
      </c>
      <c r="AH67" s="8" t="s">
        <v>470</v>
      </c>
      <c r="AI67" s="10" t="s">
        <v>471</v>
      </c>
      <c r="AJ67" s="10" t="s">
        <v>472</v>
      </c>
      <c r="AR67" s="1">
        <v>6</v>
      </c>
    </row>
    <row r="68" spans="1:44" x14ac:dyDescent="0.2">
      <c r="AC68" s="8" t="s">
        <v>366</v>
      </c>
      <c r="AD68" s="8" t="s">
        <v>417</v>
      </c>
      <c r="AE68" s="8">
        <v>15</v>
      </c>
      <c r="AF68" s="8" t="s">
        <v>424</v>
      </c>
      <c r="AG68" s="8">
        <v>300</v>
      </c>
      <c r="AH68" s="8">
        <v>1</v>
      </c>
      <c r="AI68" s="10">
        <v>0.5</v>
      </c>
      <c r="AJ68" s="10">
        <v>35</v>
      </c>
    </row>
    <row r="69" spans="1:44" x14ac:dyDescent="0.2">
      <c r="A69" s="1" t="s">
        <v>442</v>
      </c>
      <c r="B69" s="1" t="s">
        <v>435</v>
      </c>
      <c r="C69" s="1" t="s">
        <v>205</v>
      </c>
      <c r="D69" s="1" t="str">
        <f t="shared" ref="D69" si="25">"abilities/heroes/"&amp;LEFT(A69,LEN(A69)-2)&amp;"/"&amp;A69</f>
        <v>abilities/heroes/juggernaut/juggernaut_4</v>
      </c>
      <c r="E69" s="1" t="str">
        <f t="shared" si="21"/>
        <v>juggernaut_4</v>
      </c>
      <c r="F69" s="1" t="s">
        <v>245</v>
      </c>
      <c r="G69" s="1" t="s">
        <v>460</v>
      </c>
      <c r="I69" s="1">
        <v>8</v>
      </c>
      <c r="J69" s="1">
        <v>8</v>
      </c>
      <c r="K69" s="1">
        <v>24</v>
      </c>
      <c r="L69" s="1" t="s">
        <v>410</v>
      </c>
      <c r="M69" s="1">
        <v>600</v>
      </c>
      <c r="N69" s="1">
        <v>0</v>
      </c>
      <c r="Q69" s="1">
        <v>16</v>
      </c>
      <c r="U69" s="1">
        <v>110</v>
      </c>
      <c r="W69" s="1" t="s">
        <v>308</v>
      </c>
      <c r="X69" s="1" t="s">
        <v>208</v>
      </c>
      <c r="Y69" s="1" t="s">
        <v>209</v>
      </c>
      <c r="Z69" s="1" t="s">
        <v>467</v>
      </c>
      <c r="AA69" s="8" t="s">
        <v>364</v>
      </c>
      <c r="AC69" s="8" t="s">
        <v>232</v>
      </c>
      <c r="AD69" s="8" t="s">
        <v>220</v>
      </c>
      <c r="AE69" s="8" t="s">
        <v>320</v>
      </c>
      <c r="AF69" s="8" t="s">
        <v>269</v>
      </c>
      <c r="AG69" s="8" t="s">
        <v>426</v>
      </c>
      <c r="AR69" s="1">
        <v>9</v>
      </c>
    </row>
    <row r="70" spans="1:44" x14ac:dyDescent="0.2">
      <c r="AC70" s="8" t="s">
        <v>413</v>
      </c>
      <c r="AD70" s="8">
        <v>600</v>
      </c>
      <c r="AE70" s="8">
        <v>0.05</v>
      </c>
      <c r="AF70" s="8" t="s">
        <v>425</v>
      </c>
      <c r="AG70" s="8">
        <v>4</v>
      </c>
    </row>
    <row r="71" spans="1:44" x14ac:dyDescent="0.2">
      <c r="A71" s="1" t="s">
        <v>436</v>
      </c>
      <c r="B71" s="1" t="s">
        <v>437</v>
      </c>
      <c r="C71" s="1" t="s">
        <v>205</v>
      </c>
      <c r="D71" s="1" t="s">
        <v>438</v>
      </c>
      <c r="E71" s="1" t="str">
        <f t="shared" si="21"/>
        <v>juggernaut_2_1</v>
      </c>
      <c r="G71" s="1" t="s">
        <v>458</v>
      </c>
      <c r="I71" s="1">
        <v>20</v>
      </c>
      <c r="L71" s="1" t="s">
        <v>443</v>
      </c>
      <c r="M71" s="1">
        <v>1200</v>
      </c>
      <c r="N71" s="1">
        <v>0.3</v>
      </c>
      <c r="Q71" s="1">
        <v>8</v>
      </c>
      <c r="U71" s="1" t="s">
        <v>372</v>
      </c>
      <c r="W71" s="1" t="s">
        <v>466</v>
      </c>
      <c r="X71" s="1" t="s">
        <v>208</v>
      </c>
      <c r="Y71" s="1" t="s">
        <v>209</v>
      </c>
      <c r="AA71" s="8" t="s">
        <v>364</v>
      </c>
      <c r="AC71" s="8" t="s">
        <v>219</v>
      </c>
      <c r="AD71" s="8" t="s">
        <v>269</v>
      </c>
      <c r="AE71" s="8" t="s">
        <v>232</v>
      </c>
      <c r="AF71" s="8" t="s">
        <v>468</v>
      </c>
    </row>
    <row r="72" spans="1:44" x14ac:dyDescent="0.2">
      <c r="AC72" s="8" t="s">
        <v>345</v>
      </c>
      <c r="AD72" s="8" t="s">
        <v>347</v>
      </c>
      <c r="AE72" s="8">
        <v>1</v>
      </c>
      <c r="AF72" s="8">
        <v>225</v>
      </c>
    </row>
    <row r="73" spans="1:44" x14ac:dyDescent="0.2">
      <c r="A73" s="1" t="s">
        <v>473</v>
      </c>
      <c r="B73" s="1" t="s">
        <v>474</v>
      </c>
      <c r="C73" s="1" t="s">
        <v>205</v>
      </c>
      <c r="D73" s="1" t="str">
        <f>"abilities/heroes/"&amp;LEFT(A73,LEN(A73)-2)&amp;"/"&amp;A73</f>
        <v>abilities/heroes/nevermore/nevermore_0</v>
      </c>
      <c r="E73" s="1" t="str">
        <f t="shared" si="21"/>
        <v>nevermore_0</v>
      </c>
      <c r="F73" s="1" t="s">
        <v>206</v>
      </c>
      <c r="I73" s="1">
        <v>1</v>
      </c>
      <c r="Q73" s="1">
        <v>1</v>
      </c>
      <c r="R73" s="1">
        <v>1</v>
      </c>
      <c r="S73" s="1">
        <v>1</v>
      </c>
      <c r="T73" s="1">
        <v>1</v>
      </c>
      <c r="W73" s="1" t="s">
        <v>0</v>
      </c>
      <c r="X73" s="1" t="s">
        <v>208</v>
      </c>
      <c r="Y73" s="1" t="s">
        <v>209</v>
      </c>
      <c r="AA73" s="8" t="s">
        <v>210</v>
      </c>
      <c r="AC73" s="8" t="s">
        <v>220</v>
      </c>
      <c r="AD73" s="8" t="s">
        <v>269</v>
      </c>
      <c r="AE73" s="8" t="s">
        <v>454</v>
      </c>
      <c r="AF73" s="8" t="s">
        <v>518</v>
      </c>
      <c r="AG73" s="8" t="s">
        <v>517</v>
      </c>
    </row>
    <row r="74" spans="1:44" x14ac:dyDescent="0.2">
      <c r="AC74" s="8">
        <v>250</v>
      </c>
      <c r="AD74" s="8">
        <v>5</v>
      </c>
      <c r="AE74" s="8">
        <v>0.5</v>
      </c>
      <c r="AF74" s="8">
        <v>90</v>
      </c>
      <c r="AG74" s="8">
        <v>30</v>
      </c>
    </row>
    <row r="75" spans="1:44" x14ac:dyDescent="0.2">
      <c r="A75" s="1" t="s">
        <v>495</v>
      </c>
      <c r="B75" s="1" t="s">
        <v>475</v>
      </c>
      <c r="C75" s="1" t="s">
        <v>205</v>
      </c>
      <c r="D75" s="1" t="str">
        <f t="shared" ref="D75" si="26">"abilities/heroes/"&amp;LEFT(A75,LEN(A75)-2)&amp;"/"&amp;A75</f>
        <v>abilities/heroes/nevermore/nevermore_1</v>
      </c>
      <c r="E75" s="1" t="str">
        <f t="shared" si="21"/>
        <v>nevermore_1</v>
      </c>
      <c r="F75" s="1" t="s">
        <v>206</v>
      </c>
      <c r="I75" s="1">
        <v>20</v>
      </c>
      <c r="J75" s="1">
        <v>1</v>
      </c>
      <c r="K75" s="1">
        <v>3</v>
      </c>
      <c r="L75" s="1" t="s">
        <v>499</v>
      </c>
      <c r="N75" s="1">
        <v>0.55000000000000004</v>
      </c>
      <c r="Q75" s="1">
        <v>8</v>
      </c>
      <c r="U75" s="1" t="s">
        <v>494</v>
      </c>
      <c r="W75" s="1" t="s">
        <v>479</v>
      </c>
      <c r="X75" s="1" t="s">
        <v>208</v>
      </c>
      <c r="Y75" s="1" t="s">
        <v>209</v>
      </c>
      <c r="AA75" s="8" t="s">
        <v>210</v>
      </c>
      <c r="AC75" s="8" t="s">
        <v>219</v>
      </c>
      <c r="AD75" s="8" t="s">
        <v>269</v>
      </c>
      <c r="AE75" s="8" t="s">
        <v>503</v>
      </c>
      <c r="AF75" s="8" t="s">
        <v>480</v>
      </c>
      <c r="AG75" s="8" t="s">
        <v>488</v>
      </c>
      <c r="AH75" s="8" t="s">
        <v>490</v>
      </c>
      <c r="AI75" s="10" t="s">
        <v>481</v>
      </c>
      <c r="AJ75" s="10" t="s">
        <v>510</v>
      </c>
      <c r="AK75" s="10" t="s">
        <v>232</v>
      </c>
      <c r="AL75" s="10" t="s">
        <v>489</v>
      </c>
      <c r="AM75" s="10" t="s">
        <v>509</v>
      </c>
    </row>
    <row r="76" spans="1:44" x14ac:dyDescent="0.2">
      <c r="AC76" s="8" t="s">
        <v>515</v>
      </c>
      <c r="AD76" s="8" t="s">
        <v>347</v>
      </c>
      <c r="AE76" s="8">
        <v>300</v>
      </c>
      <c r="AF76" s="8">
        <v>3</v>
      </c>
      <c r="AG76" s="8" t="s">
        <v>493</v>
      </c>
      <c r="AH76" s="8">
        <v>30</v>
      </c>
      <c r="AI76" s="10">
        <v>10</v>
      </c>
      <c r="AJ76" s="10">
        <v>80</v>
      </c>
      <c r="AK76" s="10">
        <v>8</v>
      </c>
      <c r="AL76" s="10">
        <v>3</v>
      </c>
      <c r="AM76" s="10">
        <v>50</v>
      </c>
    </row>
    <row r="77" spans="1:44" x14ac:dyDescent="0.2">
      <c r="A77" s="1" t="s">
        <v>496</v>
      </c>
      <c r="B77" s="1" t="s">
        <v>477</v>
      </c>
      <c r="C77" s="1" t="s">
        <v>205</v>
      </c>
      <c r="D77" s="1" t="str">
        <f t="shared" ref="D77" si="27">"abilities/heroes/"&amp;LEFT(A77,LEN(A77)-2)&amp;"/"&amp;A77</f>
        <v>abilities/heroes/nevermore/nevermore_2</v>
      </c>
      <c r="E77" s="1" t="str">
        <f t="shared" si="21"/>
        <v>nevermore_2</v>
      </c>
      <c r="F77" s="1" t="s">
        <v>206</v>
      </c>
      <c r="I77" s="1">
        <v>20</v>
      </c>
      <c r="J77" s="1">
        <v>1</v>
      </c>
      <c r="K77" s="1">
        <v>3</v>
      </c>
      <c r="L77" s="1" t="s">
        <v>500</v>
      </c>
      <c r="N77" s="1">
        <v>0.55000000000000004</v>
      </c>
      <c r="Q77" s="1">
        <v>45</v>
      </c>
      <c r="S77" s="1">
        <v>1</v>
      </c>
      <c r="T77" s="1">
        <v>3</v>
      </c>
      <c r="U77" s="1" t="s">
        <v>218</v>
      </c>
      <c r="W77" s="1" t="s">
        <v>88</v>
      </c>
      <c r="X77" s="1" t="s">
        <v>208</v>
      </c>
      <c r="Y77" s="1" t="s">
        <v>209</v>
      </c>
      <c r="AA77" s="8" t="s">
        <v>210</v>
      </c>
      <c r="AC77" s="8" t="s">
        <v>219</v>
      </c>
      <c r="AD77" s="8" t="s">
        <v>269</v>
      </c>
      <c r="AE77" s="8" t="s">
        <v>231</v>
      </c>
      <c r="AF77" s="8" t="s">
        <v>403</v>
      </c>
      <c r="AG77" s="8" t="s">
        <v>312</v>
      </c>
      <c r="AH77" s="8" t="s">
        <v>232</v>
      </c>
      <c r="AI77" s="8" t="s">
        <v>220</v>
      </c>
      <c r="AJ77" s="10" t="s">
        <v>233</v>
      </c>
    </row>
    <row r="78" spans="1:44" x14ac:dyDescent="0.2">
      <c r="AC78" s="8" t="s">
        <v>343</v>
      </c>
      <c r="AD78" s="8" t="s">
        <v>354</v>
      </c>
      <c r="AE78" s="8" t="s">
        <v>516</v>
      </c>
      <c r="AF78" s="8">
        <v>40</v>
      </c>
      <c r="AG78" s="8">
        <v>20</v>
      </c>
      <c r="AH78" s="8">
        <v>16</v>
      </c>
      <c r="AI78" s="8">
        <v>900</v>
      </c>
      <c r="AJ78" s="10">
        <v>0.5</v>
      </c>
    </row>
    <row r="79" spans="1:44" x14ac:dyDescent="0.2">
      <c r="A79" s="1" t="s">
        <v>497</v>
      </c>
      <c r="B79" s="1" t="s">
        <v>478</v>
      </c>
      <c r="C79" s="1" t="s">
        <v>205</v>
      </c>
      <c r="D79" s="1" t="str">
        <f t="shared" ref="D79" si="28">"abilities/heroes/"&amp;LEFT(A79,LEN(A79)-2)&amp;"/"&amp;A79</f>
        <v>abilities/heroes/nevermore/nevermore_3</v>
      </c>
      <c r="E79" s="1" t="str">
        <f t="shared" si="21"/>
        <v>nevermore_3</v>
      </c>
      <c r="F79" s="1" t="s">
        <v>206</v>
      </c>
      <c r="I79" s="1">
        <v>20</v>
      </c>
      <c r="J79" s="1">
        <v>1</v>
      </c>
      <c r="K79" s="1">
        <v>3</v>
      </c>
      <c r="S79" s="1">
        <v>1</v>
      </c>
      <c r="T79" s="1">
        <v>4</v>
      </c>
      <c r="U79" s="8"/>
      <c r="W79" s="1" t="s">
        <v>492</v>
      </c>
      <c r="AA79" s="8" t="s">
        <v>210</v>
      </c>
      <c r="AC79" s="8" t="s">
        <v>482</v>
      </c>
      <c r="AD79" s="8" t="s">
        <v>254</v>
      </c>
      <c r="AE79" s="8" t="s">
        <v>483</v>
      </c>
      <c r="AF79" s="8" t="s">
        <v>238</v>
      </c>
    </row>
    <row r="80" spans="1:44" x14ac:dyDescent="0.2">
      <c r="AC80" s="8" t="s">
        <v>354</v>
      </c>
      <c r="AD80" s="8" t="s">
        <v>348</v>
      </c>
      <c r="AE80" s="8">
        <v>2</v>
      </c>
      <c r="AF80" s="8" t="s">
        <v>340</v>
      </c>
    </row>
    <row r="81" spans="1:40" x14ac:dyDescent="0.2">
      <c r="A81" s="1" t="s">
        <v>498</v>
      </c>
      <c r="B81" s="1" t="s">
        <v>476</v>
      </c>
      <c r="C81" s="1" t="s">
        <v>205</v>
      </c>
      <c r="D81" s="1" t="str">
        <f t="shared" ref="D81" si="29">"abilities/heroes/"&amp;LEFT(A81,LEN(A81)-2)&amp;"/"&amp;A81</f>
        <v>abilities/heroes/nevermore/nevermore_4</v>
      </c>
      <c r="E81" s="1" t="str">
        <f t="shared" si="21"/>
        <v>nevermore_4</v>
      </c>
      <c r="F81" s="1" t="s">
        <v>245</v>
      </c>
      <c r="I81" s="1">
        <v>8</v>
      </c>
      <c r="J81" s="1">
        <v>8</v>
      </c>
      <c r="K81" s="1">
        <v>24</v>
      </c>
      <c r="L81" s="1" t="s">
        <v>501</v>
      </c>
      <c r="N81" s="1">
        <v>1.67</v>
      </c>
      <c r="Q81" s="1">
        <v>50</v>
      </c>
      <c r="S81" s="1">
        <v>1</v>
      </c>
      <c r="T81" s="1">
        <v>2</v>
      </c>
      <c r="U81" s="1" t="s">
        <v>502</v>
      </c>
      <c r="W81" s="1" t="s">
        <v>88</v>
      </c>
      <c r="X81" s="1" t="s">
        <v>208</v>
      </c>
      <c r="Y81" s="1" t="s">
        <v>209</v>
      </c>
      <c r="AA81" s="8" t="s">
        <v>210</v>
      </c>
      <c r="AC81" s="8" t="s">
        <v>219</v>
      </c>
      <c r="AD81" s="8" t="s">
        <v>269</v>
      </c>
      <c r="AE81" s="8" t="s">
        <v>485</v>
      </c>
      <c r="AF81" s="8" t="s">
        <v>272</v>
      </c>
      <c r="AG81" s="8" t="s">
        <v>486</v>
      </c>
      <c r="AH81" s="8" t="s">
        <v>487</v>
      </c>
      <c r="AI81" s="8" t="s">
        <v>504</v>
      </c>
      <c r="AJ81" s="10" t="s">
        <v>505</v>
      </c>
      <c r="AK81" s="10" t="s">
        <v>511</v>
      </c>
      <c r="AL81" s="10" t="s">
        <v>512</v>
      </c>
      <c r="AM81" s="10" t="s">
        <v>513</v>
      </c>
      <c r="AN81" s="10" t="s">
        <v>514</v>
      </c>
    </row>
    <row r="82" spans="1:40" x14ac:dyDescent="0.2">
      <c r="AC82" s="8" t="s">
        <v>508</v>
      </c>
      <c r="AD82" s="8" t="s">
        <v>484</v>
      </c>
      <c r="AE82" s="8">
        <v>24</v>
      </c>
      <c r="AF82" s="8">
        <v>1200</v>
      </c>
      <c r="AG82" s="8">
        <v>3.6</v>
      </c>
      <c r="AH82" s="8">
        <v>125</v>
      </c>
      <c r="AI82" s="8">
        <v>350</v>
      </c>
      <c r="AJ82" s="10">
        <v>700</v>
      </c>
      <c r="AK82" s="10">
        <v>30</v>
      </c>
      <c r="AL82" s="10">
        <v>0.1</v>
      </c>
      <c r="AM82" s="10">
        <v>0.25</v>
      </c>
      <c r="AN82" s="10">
        <v>0.2</v>
      </c>
    </row>
    <row r="83" spans="1:40" x14ac:dyDescent="0.2">
      <c r="A83" s="1" t="s">
        <v>519</v>
      </c>
      <c r="B83" s="1" t="s">
        <v>520</v>
      </c>
      <c r="C83" s="1" t="s">
        <v>205</v>
      </c>
      <c r="D83" s="1" t="str">
        <f t="shared" ref="D83" si="30">"abilities/heroes/"&amp;LEFT(A83,LEN(A83)-2)&amp;"/"&amp;A83</f>
        <v>abilities/heroes/rubick/rubick_0</v>
      </c>
      <c r="E83" s="1" t="str">
        <f t="shared" si="21"/>
        <v>rubick_0</v>
      </c>
      <c r="F83" s="1" t="s">
        <v>206</v>
      </c>
      <c r="I83" s="1">
        <v>1</v>
      </c>
      <c r="S83" s="1">
        <v>1</v>
      </c>
      <c r="T83" s="1">
        <v>1</v>
      </c>
      <c r="W83" s="1" t="s">
        <v>0</v>
      </c>
      <c r="X83" s="1" t="s">
        <v>208</v>
      </c>
      <c r="Y83" s="1" t="s">
        <v>209</v>
      </c>
      <c r="Z83" s="1" t="s">
        <v>524</v>
      </c>
      <c r="AA83" s="8" t="s">
        <v>210</v>
      </c>
      <c r="AB83" s="8" t="s">
        <v>412</v>
      </c>
      <c r="AC83" s="8" t="s">
        <v>269</v>
      </c>
      <c r="AD83" s="8" t="s">
        <v>539</v>
      </c>
      <c r="AE83" s="8" t="s">
        <v>220</v>
      </c>
      <c r="AF83" s="8" t="s">
        <v>541</v>
      </c>
      <c r="AG83" s="8" t="s">
        <v>550</v>
      </c>
      <c r="AH83" s="8" t="s">
        <v>551</v>
      </c>
      <c r="AI83" s="10" t="s">
        <v>552</v>
      </c>
    </row>
    <row r="84" spans="1:40" x14ac:dyDescent="0.2">
      <c r="AC84" s="8">
        <v>10</v>
      </c>
      <c r="AD84" s="8">
        <v>5</v>
      </c>
      <c r="AE84" s="8">
        <v>200</v>
      </c>
      <c r="AF84" s="8">
        <v>50</v>
      </c>
      <c r="AG84" s="8">
        <v>5</v>
      </c>
      <c r="AH84" s="8">
        <v>5</v>
      </c>
      <c r="AI84" s="10">
        <v>500</v>
      </c>
    </row>
    <row r="85" spans="1:40" x14ac:dyDescent="0.2">
      <c r="A85" s="1" t="s">
        <v>526</v>
      </c>
      <c r="B85" s="1" t="s">
        <v>530</v>
      </c>
      <c r="C85" s="1" t="s">
        <v>205</v>
      </c>
      <c r="D85" s="1" t="str">
        <f t="shared" ref="D85" si="31">"abilities/heroes/"&amp;LEFT(A85,LEN(A85)-2)&amp;"/"&amp;A85</f>
        <v>abilities/heroes/rubick/rubick_1</v>
      </c>
      <c r="E85" s="1" t="str">
        <f t="shared" si="21"/>
        <v>rubick_1</v>
      </c>
      <c r="F85" s="1" t="s">
        <v>206</v>
      </c>
      <c r="G85" s="1" t="s">
        <v>460</v>
      </c>
      <c r="I85" s="1">
        <v>20</v>
      </c>
      <c r="J85" s="1">
        <v>1</v>
      </c>
      <c r="K85" s="1">
        <v>3</v>
      </c>
      <c r="L85" s="1" t="s">
        <v>448</v>
      </c>
      <c r="M85" s="1">
        <v>1400</v>
      </c>
      <c r="Q85" s="1">
        <v>13</v>
      </c>
      <c r="U85" s="1" t="s">
        <v>218</v>
      </c>
      <c r="W85" s="1" t="s">
        <v>308</v>
      </c>
      <c r="X85" s="1" t="s">
        <v>208</v>
      </c>
      <c r="Y85" s="1" t="s">
        <v>209</v>
      </c>
      <c r="AA85" s="8" t="s">
        <v>210</v>
      </c>
      <c r="AC85" s="8" t="s">
        <v>219</v>
      </c>
      <c r="AD85" s="8" t="s">
        <v>537</v>
      </c>
      <c r="AE85" s="8" t="s">
        <v>523</v>
      </c>
      <c r="AF85" s="8" t="s">
        <v>522</v>
      </c>
      <c r="AG85" s="8" t="s">
        <v>542</v>
      </c>
      <c r="AH85" s="8" t="s">
        <v>220</v>
      </c>
      <c r="AI85" s="8" t="s">
        <v>320</v>
      </c>
      <c r="AJ85" s="10" t="s">
        <v>211</v>
      </c>
    </row>
    <row r="86" spans="1:40" x14ac:dyDescent="0.2">
      <c r="AC86" s="8" t="s">
        <v>343</v>
      </c>
      <c r="AD86" s="8" t="s">
        <v>354</v>
      </c>
      <c r="AE86" s="8">
        <v>0.6</v>
      </c>
      <c r="AF86" s="8">
        <v>2</v>
      </c>
      <c r="AG86" s="8" t="s">
        <v>347</v>
      </c>
      <c r="AH86" s="8">
        <v>500</v>
      </c>
      <c r="AI86" s="8">
        <v>0.1</v>
      </c>
      <c r="AJ86" s="10">
        <v>1.5</v>
      </c>
    </row>
    <row r="87" spans="1:40" x14ac:dyDescent="0.2">
      <c r="A87" s="1" t="s">
        <v>527</v>
      </c>
      <c r="B87" s="1" t="s">
        <v>531</v>
      </c>
      <c r="C87" s="1" t="s">
        <v>205</v>
      </c>
      <c r="D87" s="1" t="str">
        <f t="shared" ref="D87" si="32">"abilities/heroes/"&amp;LEFT(A87,LEN(A87)-2)&amp;"/"&amp;A87</f>
        <v>abilities/heroes/rubick/rubick_2</v>
      </c>
      <c r="E87" s="1" t="str">
        <f t="shared" si="21"/>
        <v>rubick_2</v>
      </c>
      <c r="F87" s="1" t="s">
        <v>206</v>
      </c>
      <c r="I87" s="1">
        <v>20</v>
      </c>
      <c r="J87" s="1">
        <v>1</v>
      </c>
      <c r="K87" s="1">
        <v>3</v>
      </c>
      <c r="L87" s="1" t="s">
        <v>545</v>
      </c>
      <c r="M87" s="1">
        <v>3000</v>
      </c>
      <c r="O87" s="1">
        <v>3</v>
      </c>
      <c r="P87" s="1">
        <v>8</v>
      </c>
      <c r="S87" s="1">
        <v>1</v>
      </c>
      <c r="T87" s="1">
        <v>2</v>
      </c>
      <c r="U87" s="1" t="s">
        <v>534</v>
      </c>
      <c r="W87" s="1" t="s">
        <v>308</v>
      </c>
      <c r="X87" s="1" t="s">
        <v>208</v>
      </c>
      <c r="Y87" s="1" t="s">
        <v>209</v>
      </c>
      <c r="AA87" s="8" t="s">
        <v>210</v>
      </c>
      <c r="AC87" s="8" t="s">
        <v>219</v>
      </c>
      <c r="AD87" s="8" t="s">
        <v>269</v>
      </c>
      <c r="AE87" s="8" t="s">
        <v>288</v>
      </c>
      <c r="AF87" s="8" t="s">
        <v>220</v>
      </c>
      <c r="AG87" s="8" t="s">
        <v>548</v>
      </c>
      <c r="AH87" s="8" t="s">
        <v>549</v>
      </c>
      <c r="AI87" s="8" t="s">
        <v>546</v>
      </c>
      <c r="AJ87" s="8" t="s">
        <v>547</v>
      </c>
      <c r="AK87" s="10" t="s">
        <v>553</v>
      </c>
    </row>
    <row r="88" spans="1:40" x14ac:dyDescent="0.2">
      <c r="AC88" s="8" t="s">
        <v>345</v>
      </c>
      <c r="AD88" s="8" t="s">
        <v>347</v>
      </c>
      <c r="AE88" s="8">
        <v>1</v>
      </c>
      <c r="AF88" s="8">
        <v>300</v>
      </c>
      <c r="AG88" s="8">
        <v>50</v>
      </c>
      <c r="AH88" s="8">
        <v>6</v>
      </c>
      <c r="AI88" s="8">
        <v>0</v>
      </c>
      <c r="AJ88" s="8">
        <v>2</v>
      </c>
      <c r="AK88" s="10">
        <v>15</v>
      </c>
    </row>
    <row r="89" spans="1:40" x14ac:dyDescent="0.2">
      <c r="A89" s="1" t="s">
        <v>528</v>
      </c>
      <c r="B89" s="1" t="s">
        <v>532</v>
      </c>
      <c r="C89" s="1" t="s">
        <v>205</v>
      </c>
      <c r="D89" s="1" t="str">
        <f t="shared" ref="D89" si="33">"abilities/heroes/"&amp;LEFT(A89,LEN(A89)-2)&amp;"/"&amp;A89</f>
        <v>abilities/heroes/rubick/rubick_3</v>
      </c>
      <c r="E89" s="1" t="str">
        <f t="shared" si="21"/>
        <v>rubick_3</v>
      </c>
      <c r="F89" s="1" t="s">
        <v>206</v>
      </c>
      <c r="G89" s="1" t="s">
        <v>460</v>
      </c>
      <c r="I89" s="1">
        <v>20</v>
      </c>
      <c r="J89" s="1">
        <v>1</v>
      </c>
      <c r="K89" s="1">
        <v>3</v>
      </c>
      <c r="L89" s="1" t="s">
        <v>226</v>
      </c>
      <c r="M89" s="1">
        <v>1400</v>
      </c>
      <c r="Q89" s="1">
        <v>18</v>
      </c>
      <c r="S89" s="1">
        <v>1</v>
      </c>
      <c r="T89" s="1">
        <v>3</v>
      </c>
      <c r="U89" s="1" t="s">
        <v>535</v>
      </c>
      <c r="W89" s="1" t="s">
        <v>308</v>
      </c>
      <c r="X89" s="1" t="s">
        <v>208</v>
      </c>
      <c r="Y89" s="1" t="s">
        <v>209</v>
      </c>
      <c r="Z89" s="1" t="s">
        <v>524</v>
      </c>
      <c r="AA89" s="8" t="s">
        <v>210</v>
      </c>
      <c r="AB89" s="8" t="s">
        <v>412</v>
      </c>
      <c r="AC89" s="8" t="s">
        <v>219</v>
      </c>
      <c r="AD89" s="8" t="s">
        <v>269</v>
      </c>
      <c r="AE89" s="8" t="s">
        <v>288</v>
      </c>
      <c r="AF89" s="8" t="s">
        <v>220</v>
      </c>
      <c r="AG89" s="8" t="s">
        <v>232</v>
      </c>
      <c r="AH89" s="8" t="s">
        <v>320</v>
      </c>
      <c r="AI89" s="8" t="s">
        <v>546</v>
      </c>
      <c r="AJ89" s="8" t="s">
        <v>233</v>
      </c>
    </row>
    <row r="90" spans="1:40" x14ac:dyDescent="0.2">
      <c r="AC90" s="8" t="s">
        <v>345</v>
      </c>
      <c r="AD90" s="8" t="s">
        <v>347</v>
      </c>
      <c r="AE90" s="8">
        <v>1</v>
      </c>
      <c r="AF90" s="8">
        <v>400</v>
      </c>
      <c r="AG90" s="8">
        <v>5</v>
      </c>
      <c r="AH90" s="8">
        <v>0.5</v>
      </c>
      <c r="AI90" s="8">
        <v>0</v>
      </c>
      <c r="AJ90" s="8">
        <v>0.25</v>
      </c>
    </row>
    <row r="91" spans="1:40" x14ac:dyDescent="0.2">
      <c r="A91" s="1" t="s">
        <v>529</v>
      </c>
      <c r="B91" s="1" t="s">
        <v>533</v>
      </c>
      <c r="C91" s="1" t="s">
        <v>205</v>
      </c>
      <c r="D91" s="1" t="str">
        <f t="shared" ref="D91" si="34">"abilities/heroes/"&amp;LEFT(A91,LEN(A91)-2)&amp;"/"&amp;A91</f>
        <v>abilities/heroes/rubick/rubick_4</v>
      </c>
      <c r="E91" s="1" t="str">
        <f t="shared" si="21"/>
        <v>rubick_4</v>
      </c>
      <c r="F91" s="1" t="s">
        <v>245</v>
      </c>
      <c r="G91" s="1" t="s">
        <v>460</v>
      </c>
      <c r="I91" s="1">
        <v>8</v>
      </c>
      <c r="J91" s="1">
        <v>8</v>
      </c>
      <c r="K91" s="1">
        <v>24</v>
      </c>
      <c r="L91" s="1" t="s">
        <v>410</v>
      </c>
      <c r="M91" s="1">
        <v>1000</v>
      </c>
      <c r="Q91" s="1">
        <v>40</v>
      </c>
      <c r="S91" s="1">
        <v>1</v>
      </c>
      <c r="T91" s="1">
        <v>4</v>
      </c>
      <c r="U91" s="1" t="s">
        <v>536</v>
      </c>
      <c r="W91" s="1" t="s">
        <v>308</v>
      </c>
      <c r="X91" s="1" t="s">
        <v>208</v>
      </c>
      <c r="Y91" s="1" t="s">
        <v>209</v>
      </c>
      <c r="Z91" s="1" t="s">
        <v>524</v>
      </c>
      <c r="AA91" s="8" t="s">
        <v>210</v>
      </c>
      <c r="AB91" s="8" t="s">
        <v>412</v>
      </c>
      <c r="AC91" s="8" t="s">
        <v>219</v>
      </c>
      <c r="AD91" s="8" t="s">
        <v>269</v>
      </c>
      <c r="AE91" s="8" t="s">
        <v>278</v>
      </c>
      <c r="AF91" s="8" t="s">
        <v>418</v>
      </c>
      <c r="AG91" s="8" t="s">
        <v>220</v>
      </c>
      <c r="AH91" s="8" t="s">
        <v>320</v>
      </c>
      <c r="AI91" s="10" t="s">
        <v>525</v>
      </c>
      <c r="AJ91" s="10" t="s">
        <v>318</v>
      </c>
      <c r="AK91" s="10" t="s">
        <v>403</v>
      </c>
      <c r="AL91" s="10" t="s">
        <v>234</v>
      </c>
    </row>
    <row r="92" spans="1:40" x14ac:dyDescent="0.2">
      <c r="AC92" s="8" t="s">
        <v>538</v>
      </c>
      <c r="AD92" s="8" t="s">
        <v>540</v>
      </c>
      <c r="AE92" s="8">
        <v>100</v>
      </c>
      <c r="AF92" s="8">
        <v>99999</v>
      </c>
      <c r="AG92" s="8">
        <v>600</v>
      </c>
      <c r="AH92" s="8">
        <v>1</v>
      </c>
      <c r="AI92" s="10">
        <v>0.92500000000000004</v>
      </c>
      <c r="AJ92" s="10">
        <v>50</v>
      </c>
      <c r="AK92" s="10">
        <v>10</v>
      </c>
      <c r="AL92" s="10">
        <v>80</v>
      </c>
    </row>
    <row r="93" spans="1:40" x14ac:dyDescent="0.2">
      <c r="A93" s="1" t="s">
        <v>554</v>
      </c>
      <c r="B93" s="1" t="s">
        <v>555</v>
      </c>
      <c r="C93" s="1" t="s">
        <v>205</v>
      </c>
      <c r="D93" s="1" t="str">
        <f t="shared" ref="D93" si="35">"abilities/heroes/"&amp;LEFT(A93,LEN(A93)-2)&amp;"/"&amp;A93</f>
        <v>abilities/heroes/windrunner/windrunner_0</v>
      </c>
      <c r="E93" s="1" t="str">
        <f t="shared" si="21"/>
        <v>windrunner_0</v>
      </c>
      <c r="F93" s="1" t="s">
        <v>206</v>
      </c>
      <c r="G93" s="1" t="s">
        <v>459</v>
      </c>
      <c r="I93" s="1">
        <v>1</v>
      </c>
      <c r="M93" s="1">
        <v>800</v>
      </c>
      <c r="O93" s="1">
        <v>3</v>
      </c>
      <c r="P93" s="1">
        <v>16</v>
      </c>
      <c r="S93" s="1">
        <v>1</v>
      </c>
      <c r="T93" s="1">
        <v>1</v>
      </c>
      <c r="U93" s="1">
        <v>100</v>
      </c>
      <c r="W93" s="1" t="s">
        <v>567</v>
      </c>
      <c r="X93" s="1" t="s">
        <v>208</v>
      </c>
      <c r="Y93" s="1" t="s">
        <v>209</v>
      </c>
      <c r="Z93" s="1" t="s">
        <v>524</v>
      </c>
      <c r="AA93" s="8" t="s">
        <v>364</v>
      </c>
      <c r="AB93" s="8" t="s">
        <v>412</v>
      </c>
      <c r="AC93" s="8" t="s">
        <v>282</v>
      </c>
      <c r="AD93" s="8" t="s">
        <v>238</v>
      </c>
      <c r="AE93" s="8" t="s">
        <v>568</v>
      </c>
      <c r="AF93" s="8" t="s">
        <v>232</v>
      </c>
      <c r="AG93" s="8" t="s">
        <v>560</v>
      </c>
      <c r="AH93" s="8" t="s">
        <v>235</v>
      </c>
    </row>
    <row r="94" spans="1:40" x14ac:dyDescent="0.2">
      <c r="AC94" s="8">
        <v>250</v>
      </c>
      <c r="AD94" s="8">
        <v>400</v>
      </c>
      <c r="AE94" s="8">
        <v>1</v>
      </c>
      <c r="AF94" s="8">
        <v>8</v>
      </c>
      <c r="AG94" s="8">
        <v>20</v>
      </c>
      <c r="AH94" s="8">
        <v>10</v>
      </c>
    </row>
    <row r="95" spans="1:40" x14ac:dyDescent="0.2">
      <c r="A95" s="1" t="s">
        <v>561</v>
      </c>
      <c r="B95" s="1" t="s">
        <v>556</v>
      </c>
      <c r="C95" s="1" t="s">
        <v>205</v>
      </c>
      <c r="D95" s="1" t="str">
        <f t="shared" ref="D95" si="36">"abilities/heroes/"&amp;LEFT(A95,LEN(A95)-2)&amp;"/"&amp;A95</f>
        <v>abilities/heroes/windrunner/windrunner_1</v>
      </c>
      <c r="E95" s="1" t="str">
        <f t="shared" si="21"/>
        <v>windrunner_1</v>
      </c>
      <c r="F95" s="1" t="s">
        <v>206</v>
      </c>
      <c r="I95" s="1">
        <v>20</v>
      </c>
      <c r="J95" s="1">
        <v>1</v>
      </c>
      <c r="K95" s="1">
        <v>3</v>
      </c>
      <c r="L95" s="1" t="s">
        <v>226</v>
      </c>
      <c r="M95" s="1">
        <v>1500</v>
      </c>
      <c r="Q95" s="1">
        <v>9</v>
      </c>
      <c r="S95" s="1">
        <v>1</v>
      </c>
      <c r="T95" s="1">
        <v>4</v>
      </c>
      <c r="U95" s="1" t="s">
        <v>372</v>
      </c>
      <c r="V95" s="1">
        <v>1</v>
      </c>
      <c r="W95" s="1" t="s">
        <v>572</v>
      </c>
      <c r="X95" s="1" t="s">
        <v>208</v>
      </c>
      <c r="Y95" s="1" t="s">
        <v>209</v>
      </c>
      <c r="AA95" s="8" t="s">
        <v>364</v>
      </c>
      <c r="AC95" s="8" t="s">
        <v>219</v>
      </c>
      <c r="AD95" s="8" t="s">
        <v>269</v>
      </c>
      <c r="AE95" s="8" t="s">
        <v>570</v>
      </c>
      <c r="AF95" s="8" t="s">
        <v>273</v>
      </c>
      <c r="AG95" s="8" t="s">
        <v>220</v>
      </c>
      <c r="AH95" s="8" t="s">
        <v>288</v>
      </c>
      <c r="AI95" s="8" t="s">
        <v>553</v>
      </c>
      <c r="AJ95" s="10" t="s">
        <v>585</v>
      </c>
      <c r="AK95" s="10" t="s">
        <v>584</v>
      </c>
      <c r="AL95" s="10" t="s">
        <v>293</v>
      </c>
    </row>
    <row r="96" spans="1:40" x14ac:dyDescent="0.2">
      <c r="AC96" s="8" t="s">
        <v>569</v>
      </c>
      <c r="AD96" s="8" t="s">
        <v>354</v>
      </c>
      <c r="AE96" s="8">
        <v>1200</v>
      </c>
      <c r="AF96" s="8">
        <v>3000</v>
      </c>
      <c r="AG96" s="8">
        <v>125</v>
      </c>
      <c r="AH96" s="8">
        <v>0.4</v>
      </c>
      <c r="AI96" s="8">
        <v>60</v>
      </c>
      <c r="AJ96" s="10">
        <v>800</v>
      </c>
      <c r="AK96" s="10">
        <v>60</v>
      </c>
      <c r="AL96" s="10">
        <v>15</v>
      </c>
    </row>
    <row r="97" spans="1:39" x14ac:dyDescent="0.2">
      <c r="A97" s="1" t="s">
        <v>562</v>
      </c>
      <c r="B97" s="1" t="s">
        <v>557</v>
      </c>
      <c r="C97" s="1" t="s">
        <v>205</v>
      </c>
      <c r="D97" s="1" t="str">
        <f t="shared" ref="D97" si="37">"abilities/heroes/"&amp;LEFT(A97,LEN(A97)-2)&amp;"/"&amp;A97</f>
        <v>abilities/heroes/windrunner/windrunner_2</v>
      </c>
      <c r="E97" s="1" t="str">
        <f t="shared" si="21"/>
        <v>windrunner_2</v>
      </c>
      <c r="F97" s="1" t="s">
        <v>206</v>
      </c>
      <c r="G97" s="1" t="s">
        <v>459</v>
      </c>
      <c r="I97" s="1">
        <v>20</v>
      </c>
      <c r="J97" s="1">
        <v>1</v>
      </c>
      <c r="K97" s="1">
        <v>3</v>
      </c>
      <c r="Q97" s="1">
        <v>20</v>
      </c>
      <c r="W97" s="1" t="s">
        <v>88</v>
      </c>
      <c r="X97" s="1" t="s">
        <v>208</v>
      </c>
      <c r="Y97" s="1" t="s">
        <v>209</v>
      </c>
      <c r="AA97" s="8" t="s">
        <v>210</v>
      </c>
      <c r="AC97" s="8" t="s">
        <v>586</v>
      </c>
      <c r="AD97" s="8" t="s">
        <v>219</v>
      </c>
      <c r="AE97" s="8" t="s">
        <v>269</v>
      </c>
      <c r="AF97" s="8" t="s">
        <v>232</v>
      </c>
      <c r="AG97" s="8" t="s">
        <v>211</v>
      </c>
      <c r="AH97" s="8" t="s">
        <v>272</v>
      </c>
      <c r="AI97" s="8" t="s">
        <v>468</v>
      </c>
      <c r="AJ97" s="10" t="s">
        <v>587</v>
      </c>
      <c r="AK97" s="10" t="s">
        <v>313</v>
      </c>
      <c r="AL97" s="10" t="s">
        <v>273</v>
      </c>
    </row>
    <row r="98" spans="1:39" x14ac:dyDescent="0.2">
      <c r="AC98" s="8">
        <v>3</v>
      </c>
      <c r="AD98" s="8" t="s">
        <v>345</v>
      </c>
      <c r="AE98" s="8" t="s">
        <v>347</v>
      </c>
      <c r="AF98" s="8">
        <v>12</v>
      </c>
      <c r="AG98" s="8">
        <v>1</v>
      </c>
      <c r="AH98" s="8">
        <v>1200</v>
      </c>
      <c r="AI98" s="8">
        <v>150</v>
      </c>
      <c r="AJ98" s="10" t="s">
        <v>347</v>
      </c>
      <c r="AK98" s="10">
        <v>4</v>
      </c>
      <c r="AL98" s="10">
        <v>1200</v>
      </c>
    </row>
    <row r="99" spans="1:39" x14ac:dyDescent="0.2">
      <c r="A99" s="1" t="s">
        <v>563</v>
      </c>
      <c r="B99" s="1" t="s">
        <v>558</v>
      </c>
      <c r="C99" s="1" t="s">
        <v>205</v>
      </c>
      <c r="D99" s="1" t="str">
        <f t="shared" ref="D99" si="38">"abilities/heroes/"&amp;LEFT(A99,LEN(A99)-2)&amp;"/"&amp;A99</f>
        <v>abilities/heroes/windrunner/windrunner_3</v>
      </c>
      <c r="E99" s="1" t="str">
        <f t="shared" si="21"/>
        <v>windrunner_3</v>
      </c>
      <c r="F99" s="1" t="s">
        <v>206</v>
      </c>
      <c r="G99" s="1" t="s">
        <v>459</v>
      </c>
      <c r="I99" s="1">
        <v>20</v>
      </c>
      <c r="J99" s="1">
        <v>1</v>
      </c>
      <c r="K99" s="1">
        <v>3</v>
      </c>
      <c r="L99" s="1" t="s">
        <v>306</v>
      </c>
      <c r="O99" s="1">
        <v>2</v>
      </c>
      <c r="P99" s="1">
        <v>12</v>
      </c>
      <c r="U99" s="1" t="s">
        <v>307</v>
      </c>
      <c r="W99" s="1" t="s">
        <v>571</v>
      </c>
      <c r="X99" s="1" t="s">
        <v>208</v>
      </c>
      <c r="Y99" s="1" t="s">
        <v>209</v>
      </c>
      <c r="AC99" s="8" t="s">
        <v>251</v>
      </c>
      <c r="AD99" s="8" t="s">
        <v>579</v>
      </c>
      <c r="AE99" s="8" t="s">
        <v>580</v>
      </c>
      <c r="AF99" s="8" t="s">
        <v>220</v>
      </c>
      <c r="AG99" s="8" t="s">
        <v>232</v>
      </c>
      <c r="AI99" s="8"/>
      <c r="AJ99" s="8"/>
    </row>
    <row r="100" spans="1:39" x14ac:dyDescent="0.2">
      <c r="AC100" s="8" t="s">
        <v>575</v>
      </c>
      <c r="AD100" s="8" t="s">
        <v>578</v>
      </c>
      <c r="AE100" s="8" t="s">
        <v>391</v>
      </c>
      <c r="AF100" s="8">
        <v>325</v>
      </c>
      <c r="AG100" s="8">
        <v>4</v>
      </c>
      <c r="AI100" s="8"/>
      <c r="AJ100" s="8"/>
    </row>
    <row r="101" spans="1:39" x14ac:dyDescent="0.2">
      <c r="A101" s="1" t="s">
        <v>564</v>
      </c>
      <c r="B101" s="1" t="s">
        <v>559</v>
      </c>
      <c r="C101" s="1" t="s">
        <v>205</v>
      </c>
      <c r="D101" s="1" t="str">
        <f t="shared" ref="D101" si="39">"abilities/heroes/"&amp;LEFT(A101,LEN(A101)-2)&amp;"/"&amp;A101</f>
        <v>abilities/heroes/windrunner/windrunner_4</v>
      </c>
      <c r="E101" s="1" t="str">
        <f t="shared" si="21"/>
        <v>windrunner_4</v>
      </c>
      <c r="F101" s="1" t="s">
        <v>245</v>
      </c>
      <c r="I101" s="1">
        <v>8</v>
      </c>
      <c r="J101" s="1">
        <v>8</v>
      </c>
      <c r="K101" s="1">
        <v>24</v>
      </c>
      <c r="L101" s="1" t="s">
        <v>448</v>
      </c>
      <c r="N101" s="1">
        <v>0.3</v>
      </c>
      <c r="Q101" s="1">
        <v>90</v>
      </c>
      <c r="S101" s="1">
        <v>1</v>
      </c>
      <c r="T101" s="1" t="s">
        <v>583</v>
      </c>
      <c r="U101" s="1" t="s">
        <v>502</v>
      </c>
      <c r="W101" s="1" t="s">
        <v>88</v>
      </c>
      <c r="X101" s="1" t="s">
        <v>208</v>
      </c>
      <c r="Y101" s="1" t="s">
        <v>209</v>
      </c>
      <c r="AA101" s="8" t="s">
        <v>364</v>
      </c>
      <c r="AB101" s="8" t="s">
        <v>412</v>
      </c>
      <c r="AC101" s="8" t="s">
        <v>219</v>
      </c>
      <c r="AD101" s="8" t="s">
        <v>269</v>
      </c>
      <c r="AE101" s="8" t="s">
        <v>573</v>
      </c>
      <c r="AF101" s="8" t="s">
        <v>220</v>
      </c>
      <c r="AG101" s="8" t="s">
        <v>232</v>
      </c>
      <c r="AH101" s="8" t="s">
        <v>288</v>
      </c>
      <c r="AI101" s="10" t="s">
        <v>320</v>
      </c>
      <c r="AJ101" s="10" t="s">
        <v>212</v>
      </c>
      <c r="AK101" s="10" t="s">
        <v>581</v>
      </c>
      <c r="AL101" s="10" t="s">
        <v>233</v>
      </c>
      <c r="AM101" s="10" t="s">
        <v>582</v>
      </c>
    </row>
    <row r="102" spans="1:39" x14ac:dyDescent="0.2">
      <c r="AC102" s="8" t="s">
        <v>538</v>
      </c>
      <c r="AD102" s="8" t="s">
        <v>574</v>
      </c>
      <c r="AE102" s="8">
        <v>200</v>
      </c>
      <c r="AF102" s="8">
        <v>1200</v>
      </c>
      <c r="AG102" s="8">
        <v>4</v>
      </c>
      <c r="AH102" s="8">
        <v>0.5</v>
      </c>
      <c r="AI102" s="10">
        <v>0.03</v>
      </c>
      <c r="AJ102" s="10">
        <v>40</v>
      </c>
      <c r="AK102" s="10">
        <v>4</v>
      </c>
      <c r="AL102" s="10">
        <v>8</v>
      </c>
      <c r="AM102" s="10">
        <v>1</v>
      </c>
    </row>
    <row r="103" spans="1:39" x14ac:dyDescent="0.2">
      <c r="A103" s="1" t="s">
        <v>591</v>
      </c>
      <c r="B103" s="1" t="s">
        <v>592</v>
      </c>
      <c r="C103" s="1" t="s">
        <v>205</v>
      </c>
      <c r="D103" s="1" t="str">
        <f t="shared" ref="D103" si="40">"abilities/heroes/"&amp;LEFT(A103,LEN(A103)-2)&amp;"/"&amp;A103</f>
        <v>abilities/heroes/crystal_maiden/crystal_maiden_0</v>
      </c>
      <c r="E103" s="1" t="str">
        <f t="shared" si="21"/>
        <v>crystal_maiden_0</v>
      </c>
      <c r="F103" s="1" t="s">
        <v>206</v>
      </c>
      <c r="I103" s="1">
        <v>1</v>
      </c>
      <c r="L103" s="1" t="s">
        <v>226</v>
      </c>
      <c r="M103" s="1">
        <v>1200</v>
      </c>
      <c r="N103" s="1">
        <v>0.3</v>
      </c>
      <c r="Q103" s="1">
        <v>15</v>
      </c>
      <c r="S103" s="1">
        <v>1</v>
      </c>
      <c r="T103" s="1" t="s">
        <v>618</v>
      </c>
      <c r="U103" s="1">
        <v>50</v>
      </c>
      <c r="W103" s="1" t="s">
        <v>5</v>
      </c>
      <c r="X103" s="1" t="s">
        <v>597</v>
      </c>
      <c r="Y103" s="1" t="s">
        <v>209</v>
      </c>
      <c r="AC103" s="8" t="s">
        <v>232</v>
      </c>
      <c r="AD103" s="8" t="s">
        <v>220</v>
      </c>
      <c r="AE103" s="8" t="s">
        <v>580</v>
      </c>
      <c r="AF103" s="8" t="s">
        <v>599</v>
      </c>
      <c r="AG103" s="8" t="s">
        <v>600</v>
      </c>
      <c r="AH103" s="8" t="s">
        <v>550</v>
      </c>
      <c r="AI103" s="10" t="s">
        <v>617</v>
      </c>
    </row>
    <row r="104" spans="1:39" x14ac:dyDescent="0.2">
      <c r="AC104" s="8">
        <v>5</v>
      </c>
      <c r="AD104" s="8">
        <v>275</v>
      </c>
      <c r="AE104" s="8">
        <v>8</v>
      </c>
      <c r="AF104" s="8">
        <v>900</v>
      </c>
      <c r="AG104" s="8">
        <v>10</v>
      </c>
      <c r="AH104" s="8">
        <v>5</v>
      </c>
      <c r="AI104" s="10">
        <v>2</v>
      </c>
    </row>
    <row r="105" spans="1:39" x14ac:dyDescent="0.2">
      <c r="A105" s="1" t="s">
        <v>601</v>
      </c>
      <c r="B105" s="1" t="s">
        <v>593</v>
      </c>
      <c r="C105" s="1" t="s">
        <v>205</v>
      </c>
      <c r="D105" s="1" t="str">
        <f t="shared" ref="D105" si="41">"abilities/heroes/"&amp;LEFT(A105,LEN(A105)-2)&amp;"/"&amp;A105</f>
        <v>abilities/heroes/crystal_maiden/crystal_maiden_1</v>
      </c>
      <c r="E105" s="1" t="str">
        <f t="shared" si="21"/>
        <v>crystal_maiden_1</v>
      </c>
      <c r="F105" s="1" t="s">
        <v>206</v>
      </c>
      <c r="I105" s="1">
        <v>20</v>
      </c>
      <c r="J105" s="1">
        <v>1</v>
      </c>
      <c r="K105" s="1">
        <v>3</v>
      </c>
      <c r="L105" s="1" t="s">
        <v>448</v>
      </c>
      <c r="N105" s="1">
        <v>0.3</v>
      </c>
      <c r="O105" s="1">
        <v>3</v>
      </c>
      <c r="P105" s="1">
        <v>15</v>
      </c>
      <c r="U105" s="1" t="s">
        <v>218</v>
      </c>
      <c r="W105" s="1" t="s">
        <v>88</v>
      </c>
      <c r="X105" s="1" t="s">
        <v>208</v>
      </c>
      <c r="Y105" s="1" t="s">
        <v>209</v>
      </c>
      <c r="AA105" s="8" t="s">
        <v>210</v>
      </c>
      <c r="AC105" s="8" t="s">
        <v>219</v>
      </c>
      <c r="AD105" s="8" t="s">
        <v>269</v>
      </c>
      <c r="AE105" s="8" t="s">
        <v>598</v>
      </c>
      <c r="AF105" s="8" t="s">
        <v>232</v>
      </c>
      <c r="AG105" s="8" t="s">
        <v>278</v>
      </c>
      <c r="AH105" s="8" t="s">
        <v>418</v>
      </c>
      <c r="AI105" s="10" t="s">
        <v>220</v>
      </c>
      <c r="AJ105" s="10" t="s">
        <v>608</v>
      </c>
      <c r="AK105" s="10" t="s">
        <v>609</v>
      </c>
      <c r="AL105" s="10" t="s">
        <v>613</v>
      </c>
    </row>
    <row r="106" spans="1:39" x14ac:dyDescent="0.2">
      <c r="AC106" s="8" t="s">
        <v>384</v>
      </c>
      <c r="AD106" s="8" t="s">
        <v>349</v>
      </c>
      <c r="AE106" s="8">
        <v>1.2</v>
      </c>
      <c r="AF106" s="8">
        <v>6</v>
      </c>
      <c r="AG106" s="8" t="s">
        <v>606</v>
      </c>
      <c r="AH106" s="8" t="s">
        <v>606</v>
      </c>
      <c r="AI106" s="10">
        <v>900</v>
      </c>
      <c r="AJ106" s="10">
        <v>100</v>
      </c>
      <c r="AK106" s="10">
        <v>30</v>
      </c>
      <c r="AL106" s="10">
        <v>0.3</v>
      </c>
    </row>
    <row r="107" spans="1:39" x14ac:dyDescent="0.2">
      <c r="A107" s="1" t="s">
        <v>602</v>
      </c>
      <c r="B107" s="1" t="s">
        <v>594</v>
      </c>
      <c r="C107" s="1" t="s">
        <v>205</v>
      </c>
      <c r="D107" s="1" t="str">
        <f t="shared" ref="D107" si="42">"abilities/heroes/"&amp;LEFT(A107,LEN(A107)-2)&amp;"/"&amp;A107</f>
        <v>abilities/heroes/crystal_maiden/crystal_maiden_2</v>
      </c>
      <c r="E107" s="1" t="str">
        <f t="shared" si="21"/>
        <v>crystal_maiden_2</v>
      </c>
      <c r="F107" s="1" t="s">
        <v>206</v>
      </c>
      <c r="I107" s="1">
        <v>20</v>
      </c>
      <c r="J107" s="1">
        <v>1</v>
      </c>
      <c r="K107" s="1">
        <v>3</v>
      </c>
      <c r="L107" s="1" t="s">
        <v>448</v>
      </c>
      <c r="M107" s="1">
        <v>800</v>
      </c>
      <c r="N107" s="1">
        <v>0.3</v>
      </c>
      <c r="Q107" s="1">
        <v>10</v>
      </c>
      <c r="U107" s="1" t="s">
        <v>605</v>
      </c>
      <c r="W107" s="1" t="s">
        <v>308</v>
      </c>
      <c r="X107" s="1" t="s">
        <v>208</v>
      </c>
      <c r="Y107" s="1" t="s">
        <v>209</v>
      </c>
      <c r="AA107" s="8" t="s">
        <v>210</v>
      </c>
      <c r="AC107" s="8" t="s">
        <v>219</v>
      </c>
      <c r="AD107" s="8" t="s">
        <v>269</v>
      </c>
      <c r="AE107" s="8" t="s">
        <v>232</v>
      </c>
      <c r="AF107" s="8" t="s">
        <v>220</v>
      </c>
      <c r="AG107" s="8" t="s">
        <v>312</v>
      </c>
      <c r="AH107" s="10" t="s">
        <v>607</v>
      </c>
      <c r="AI107" s="10" t="s">
        <v>320</v>
      </c>
      <c r="AJ107" s="10" t="s">
        <v>288</v>
      </c>
      <c r="AK107" s="10" t="s">
        <v>610</v>
      </c>
      <c r="AL107" s="10" t="s">
        <v>608</v>
      </c>
    </row>
    <row r="108" spans="1:39" x14ac:dyDescent="0.2">
      <c r="AC108" s="8" t="s">
        <v>345</v>
      </c>
      <c r="AD108" s="8" t="s">
        <v>347</v>
      </c>
      <c r="AE108" s="8">
        <v>6</v>
      </c>
      <c r="AF108" s="8">
        <v>300</v>
      </c>
      <c r="AG108" s="8">
        <v>50</v>
      </c>
      <c r="AH108" s="10">
        <v>3</v>
      </c>
      <c r="AI108" s="10">
        <v>0.8</v>
      </c>
      <c r="AJ108" s="10">
        <v>0.4</v>
      </c>
      <c r="AK108" s="10">
        <v>0.05</v>
      </c>
      <c r="AL108" s="10">
        <v>30</v>
      </c>
    </row>
    <row r="109" spans="1:39" x14ac:dyDescent="0.2">
      <c r="A109" s="1" t="s">
        <v>603</v>
      </c>
      <c r="B109" s="1" t="s">
        <v>595</v>
      </c>
      <c r="C109" s="1" t="s">
        <v>205</v>
      </c>
      <c r="D109" s="1" t="str">
        <f t="shared" ref="D109" si="43">"abilities/heroes/"&amp;LEFT(A109,LEN(A109)-2)&amp;"/"&amp;A109</f>
        <v>abilities/heroes/crystal_maiden/crystal_maiden_3</v>
      </c>
      <c r="E109" s="1" t="str">
        <f t="shared" si="21"/>
        <v>crystal_maiden_3</v>
      </c>
      <c r="F109" s="1" t="s">
        <v>206</v>
      </c>
      <c r="I109" s="1">
        <v>20</v>
      </c>
      <c r="J109" s="1">
        <v>1</v>
      </c>
      <c r="K109" s="1">
        <v>3</v>
      </c>
      <c r="S109" s="1">
        <v>1</v>
      </c>
      <c r="T109" s="1">
        <v>4</v>
      </c>
      <c r="W109" s="1" t="s">
        <v>0</v>
      </c>
      <c r="X109" s="1" t="s">
        <v>227</v>
      </c>
      <c r="Y109" s="1" t="s">
        <v>209</v>
      </c>
      <c r="AC109" s="8" t="s">
        <v>611</v>
      </c>
      <c r="AD109" s="8" t="s">
        <v>230</v>
      </c>
      <c r="AE109" s="8" t="s">
        <v>612</v>
      </c>
      <c r="AF109" s="8" t="s">
        <v>619</v>
      </c>
      <c r="AG109" s="8" t="s">
        <v>620</v>
      </c>
    </row>
    <row r="110" spans="1:39" x14ac:dyDescent="0.2">
      <c r="AC110" s="8" t="s">
        <v>621</v>
      </c>
      <c r="AD110" s="8" t="s">
        <v>387</v>
      </c>
      <c r="AE110" s="8">
        <v>15</v>
      </c>
      <c r="AF110" s="8">
        <v>3</v>
      </c>
      <c r="AG110" s="8">
        <v>1</v>
      </c>
    </row>
    <row r="111" spans="1:39" x14ac:dyDescent="0.2">
      <c r="A111" s="1" t="s">
        <v>604</v>
      </c>
      <c r="B111" s="1" t="s">
        <v>596</v>
      </c>
      <c r="C111" s="1" t="s">
        <v>205</v>
      </c>
      <c r="D111" s="1" t="str">
        <f t="shared" ref="D111" si="44">"abilities/heroes/"&amp;LEFT(A111,LEN(A111)-2)&amp;"/"&amp;A111</f>
        <v>abilities/heroes/crystal_maiden/crystal_maiden_4</v>
      </c>
      <c r="E111" s="1" t="str">
        <f t="shared" si="21"/>
        <v>crystal_maiden_4</v>
      </c>
      <c r="F111" s="1" t="s">
        <v>245</v>
      </c>
      <c r="I111" s="1">
        <v>8</v>
      </c>
      <c r="J111" s="1">
        <v>8</v>
      </c>
      <c r="K111" s="1">
        <v>24</v>
      </c>
      <c r="L111" s="1" t="s">
        <v>448</v>
      </c>
      <c r="N111" s="1">
        <v>0.3</v>
      </c>
      <c r="Q111" s="1">
        <v>30</v>
      </c>
      <c r="S111" s="1">
        <v>1</v>
      </c>
      <c r="T111" s="1">
        <v>2</v>
      </c>
      <c r="U111" s="1" t="s">
        <v>502</v>
      </c>
      <c r="W111" s="1" t="s">
        <v>88</v>
      </c>
      <c r="X111" s="1" t="s">
        <v>208</v>
      </c>
      <c r="Y111" s="1" t="s">
        <v>209</v>
      </c>
      <c r="AA111" s="8" t="s">
        <v>210</v>
      </c>
      <c r="AC111" s="8" t="s">
        <v>219</v>
      </c>
      <c r="AD111" s="8" t="s">
        <v>269</v>
      </c>
      <c r="AE111" s="8" t="s">
        <v>220</v>
      </c>
      <c r="AF111" s="8" t="s">
        <v>232</v>
      </c>
      <c r="AG111" s="8" t="s">
        <v>326</v>
      </c>
      <c r="AH111" s="8" t="s">
        <v>403</v>
      </c>
      <c r="AI111" s="10" t="s">
        <v>614</v>
      </c>
      <c r="AJ111" s="10" t="s">
        <v>616</v>
      </c>
    </row>
    <row r="112" spans="1:39" x14ac:dyDescent="0.2">
      <c r="AC112" s="8" t="s">
        <v>342</v>
      </c>
      <c r="AD112" s="8" t="s">
        <v>350</v>
      </c>
      <c r="AE112" s="8">
        <v>900</v>
      </c>
      <c r="AF112" s="8">
        <v>8</v>
      </c>
      <c r="AG112" s="8">
        <v>4</v>
      </c>
      <c r="AH112" s="8" t="s">
        <v>615</v>
      </c>
      <c r="AI112" s="10">
        <v>150</v>
      </c>
      <c r="AJ112" s="10">
        <v>1</v>
      </c>
    </row>
    <row r="113" spans="1:37" x14ac:dyDescent="0.2">
      <c r="A113" s="1" t="s">
        <v>622</v>
      </c>
      <c r="B113" s="1" t="s">
        <v>623</v>
      </c>
      <c r="C113" s="1" t="s">
        <v>205</v>
      </c>
      <c r="D113" s="1" t="str">
        <f t="shared" ref="D113" si="45">"abilities/heroes/"&amp;LEFT(A113,LEN(A113)-2)&amp;"/"&amp;A113</f>
        <v>abilities/heroes/oracle/oracle_0</v>
      </c>
      <c r="E113" s="1" t="str">
        <f t="shared" si="21"/>
        <v>oracle_0</v>
      </c>
      <c r="F113" s="1" t="s">
        <v>206</v>
      </c>
      <c r="I113" s="1">
        <v>1</v>
      </c>
      <c r="L113" s="1" t="s">
        <v>306</v>
      </c>
      <c r="M113" s="1">
        <v>1200</v>
      </c>
      <c r="N113" s="1">
        <v>0.15</v>
      </c>
      <c r="Q113" s="1">
        <v>30</v>
      </c>
      <c r="R113" s="1">
        <v>1</v>
      </c>
      <c r="S113" s="1">
        <v>1</v>
      </c>
      <c r="T113" s="1">
        <v>1</v>
      </c>
      <c r="U113" s="1">
        <v>50</v>
      </c>
      <c r="W113" s="1" t="s">
        <v>649</v>
      </c>
      <c r="X113" s="1" t="s">
        <v>597</v>
      </c>
      <c r="Y113" s="1" t="s">
        <v>209</v>
      </c>
      <c r="Z113" s="1" t="s">
        <v>524</v>
      </c>
      <c r="AB113" s="8" t="s">
        <v>412</v>
      </c>
      <c r="AC113" s="8" t="s">
        <v>630</v>
      </c>
      <c r="AD113" s="8" t="s">
        <v>631</v>
      </c>
      <c r="AE113" s="8" t="s">
        <v>628</v>
      </c>
      <c r="AF113" s="8" t="s">
        <v>629</v>
      </c>
      <c r="AG113" s="8" t="s">
        <v>232</v>
      </c>
    </row>
    <row r="114" spans="1:37" x14ac:dyDescent="0.2">
      <c r="AC114" s="8">
        <v>5</v>
      </c>
      <c r="AD114" s="8">
        <v>30</v>
      </c>
      <c r="AE114" s="8">
        <v>50</v>
      </c>
      <c r="AF114" s="8">
        <v>1</v>
      </c>
      <c r="AG114" s="8">
        <v>15</v>
      </c>
    </row>
    <row r="115" spans="1:37" x14ac:dyDescent="0.2">
      <c r="A115" s="1" t="s">
        <v>642</v>
      </c>
      <c r="B115" s="1" t="s">
        <v>624</v>
      </c>
      <c r="C115" s="1" t="s">
        <v>205</v>
      </c>
      <c r="D115" s="1" t="str">
        <f t="shared" ref="D115" si="46">"abilities/heroes/"&amp;LEFT(A115,LEN(A115)-2)&amp;"/"&amp;A115</f>
        <v>abilities/heroes/oracle/oracle_1</v>
      </c>
      <c r="E115" s="1" t="str">
        <f t="shared" si="21"/>
        <v>oracle_1</v>
      </c>
      <c r="F115" s="1" t="s">
        <v>206</v>
      </c>
      <c r="I115" s="1">
        <v>20</v>
      </c>
      <c r="J115" s="1">
        <v>1</v>
      </c>
      <c r="K115" s="1">
        <v>3</v>
      </c>
      <c r="L115" s="1" t="s">
        <v>306</v>
      </c>
      <c r="M115" s="1">
        <v>1200</v>
      </c>
      <c r="N115" s="1">
        <v>0.15</v>
      </c>
      <c r="Q115" s="1">
        <v>2.25</v>
      </c>
      <c r="S115" s="1">
        <v>1</v>
      </c>
      <c r="T115" s="1">
        <v>4</v>
      </c>
      <c r="U115" s="1" t="s">
        <v>307</v>
      </c>
      <c r="W115" s="1" t="s">
        <v>308</v>
      </c>
      <c r="X115" s="1" t="s">
        <v>208</v>
      </c>
      <c r="Y115" s="1" t="s">
        <v>209</v>
      </c>
      <c r="Z115" s="1" t="s">
        <v>647</v>
      </c>
      <c r="AA115" s="8" t="s">
        <v>210</v>
      </c>
      <c r="AC115" s="8" t="s">
        <v>219</v>
      </c>
      <c r="AD115" s="8" t="s">
        <v>269</v>
      </c>
      <c r="AE115" s="8" t="s">
        <v>632</v>
      </c>
      <c r="AF115" s="8" t="s">
        <v>320</v>
      </c>
      <c r="AG115" s="8" t="s">
        <v>220</v>
      </c>
      <c r="AH115" s="8" t="s">
        <v>232</v>
      </c>
      <c r="AI115" s="10" t="s">
        <v>633</v>
      </c>
      <c r="AJ115" s="8" t="s">
        <v>233</v>
      </c>
    </row>
    <row r="116" spans="1:37" x14ac:dyDescent="0.2">
      <c r="AC116" s="8" t="s">
        <v>417</v>
      </c>
      <c r="AD116" s="8" t="s">
        <v>347</v>
      </c>
      <c r="AE116" s="8" t="s">
        <v>352</v>
      </c>
      <c r="AF116" s="8">
        <v>0.25</v>
      </c>
      <c r="AG116" s="8">
        <v>300</v>
      </c>
      <c r="AH116" s="8">
        <v>9</v>
      </c>
      <c r="AI116" s="10">
        <v>30</v>
      </c>
      <c r="AJ116" s="8">
        <v>1</v>
      </c>
    </row>
    <row r="117" spans="1:37" x14ac:dyDescent="0.2">
      <c r="A117" s="1" t="s">
        <v>643</v>
      </c>
      <c r="B117" s="1" t="s">
        <v>625</v>
      </c>
      <c r="C117" s="1" t="s">
        <v>205</v>
      </c>
      <c r="D117" s="1" t="str">
        <f t="shared" ref="D117" si="47">"abilities/heroes/"&amp;LEFT(A117,LEN(A117)-2)&amp;"/"&amp;A117</f>
        <v>abilities/heroes/oracle/oracle_2</v>
      </c>
      <c r="E117" s="1" t="str">
        <f t="shared" si="21"/>
        <v>oracle_2</v>
      </c>
      <c r="F117" s="1" t="s">
        <v>206</v>
      </c>
      <c r="I117" s="1">
        <v>20</v>
      </c>
      <c r="J117" s="1">
        <v>1</v>
      </c>
      <c r="K117" s="1">
        <v>3</v>
      </c>
      <c r="L117" s="1" t="s">
        <v>226</v>
      </c>
      <c r="N117" s="1">
        <v>0.3</v>
      </c>
      <c r="Q117" s="1">
        <v>16</v>
      </c>
      <c r="R117" s="1">
        <v>1</v>
      </c>
      <c r="S117" s="1">
        <v>1</v>
      </c>
      <c r="T117" s="1">
        <v>2</v>
      </c>
      <c r="U117" s="1" t="s">
        <v>218</v>
      </c>
      <c r="W117" s="1" t="s">
        <v>88</v>
      </c>
      <c r="X117" s="1" t="s">
        <v>208</v>
      </c>
      <c r="Y117" s="1" t="s">
        <v>209</v>
      </c>
      <c r="AC117" s="8" t="s">
        <v>627</v>
      </c>
      <c r="AD117" s="8" t="s">
        <v>634</v>
      </c>
      <c r="AE117" s="8" t="s">
        <v>635</v>
      </c>
      <c r="AF117" s="8" t="s">
        <v>553</v>
      </c>
      <c r="AG117" s="8" t="s">
        <v>232</v>
      </c>
      <c r="AH117" s="8" t="s">
        <v>650</v>
      </c>
    </row>
    <row r="118" spans="1:37" x14ac:dyDescent="0.2">
      <c r="AC118" s="8" t="s">
        <v>348</v>
      </c>
      <c r="AD118" s="8" t="s">
        <v>354</v>
      </c>
      <c r="AE118" s="8" t="s">
        <v>423</v>
      </c>
      <c r="AF118" s="8" t="s">
        <v>636</v>
      </c>
      <c r="AG118" s="8">
        <v>9</v>
      </c>
      <c r="AH118" s="8">
        <v>15</v>
      </c>
    </row>
    <row r="119" spans="1:37" x14ac:dyDescent="0.2">
      <c r="A119" s="1" t="s">
        <v>644</v>
      </c>
      <c r="B119" s="1" t="s">
        <v>646</v>
      </c>
      <c r="C119" s="1" t="s">
        <v>205</v>
      </c>
      <c r="D119" s="1" t="str">
        <f t="shared" ref="D119" si="48">"abilities/heroes/"&amp;LEFT(A119,LEN(A119)-2)&amp;"/"&amp;A119</f>
        <v>abilities/heroes/oracle/oracle_3</v>
      </c>
      <c r="E119" s="1" t="str">
        <f t="shared" si="21"/>
        <v>oracle_3</v>
      </c>
      <c r="F119" s="1" t="s">
        <v>206</v>
      </c>
      <c r="I119" s="1">
        <v>20</v>
      </c>
      <c r="J119" s="1">
        <v>1</v>
      </c>
      <c r="K119" s="1">
        <v>3</v>
      </c>
      <c r="L119" s="1" t="s">
        <v>226</v>
      </c>
      <c r="M119" s="1">
        <v>1200</v>
      </c>
      <c r="N119" s="1">
        <v>0.3</v>
      </c>
      <c r="Q119" s="1">
        <v>28</v>
      </c>
      <c r="S119" s="1">
        <v>1</v>
      </c>
      <c r="T119" s="1">
        <v>3</v>
      </c>
      <c r="U119" s="1" t="s">
        <v>218</v>
      </c>
      <c r="W119" s="1" t="s">
        <v>5</v>
      </c>
      <c r="X119" s="1" t="s">
        <v>227</v>
      </c>
      <c r="Y119" s="1" t="s">
        <v>209</v>
      </c>
      <c r="AA119" s="8" t="s">
        <v>210</v>
      </c>
      <c r="AC119" s="8" t="s">
        <v>219</v>
      </c>
      <c r="AD119" s="8" t="s">
        <v>269</v>
      </c>
      <c r="AE119" s="8" t="s">
        <v>278</v>
      </c>
      <c r="AF119" s="8" t="s">
        <v>637</v>
      </c>
      <c r="AG119" s="8" t="s">
        <v>639</v>
      </c>
      <c r="AH119" s="8" t="s">
        <v>232</v>
      </c>
      <c r="AI119" s="10" t="s">
        <v>651</v>
      </c>
      <c r="AJ119" s="10" t="s">
        <v>652</v>
      </c>
    </row>
    <row r="120" spans="1:37" x14ac:dyDescent="0.2">
      <c r="AC120" s="8" t="s">
        <v>343</v>
      </c>
      <c r="AD120" s="8" t="s">
        <v>349</v>
      </c>
      <c r="AE120" s="8">
        <v>200</v>
      </c>
      <c r="AF120" s="8" t="s">
        <v>638</v>
      </c>
      <c r="AG120" s="8">
        <v>1</v>
      </c>
      <c r="AH120" s="8">
        <v>14</v>
      </c>
      <c r="AI120" s="10">
        <v>300</v>
      </c>
      <c r="AJ120" s="10">
        <v>1</v>
      </c>
    </row>
    <row r="121" spans="1:37" x14ac:dyDescent="0.2">
      <c r="A121" s="1" t="s">
        <v>645</v>
      </c>
      <c r="B121" s="1" t="s">
        <v>626</v>
      </c>
      <c r="C121" s="1" t="s">
        <v>205</v>
      </c>
      <c r="D121" s="1" t="str">
        <f t="shared" ref="D121:D131" si="49">"abilities/heroes/"&amp;LEFT(A121,LEN(A121)-2)&amp;"/"&amp;A121</f>
        <v>abilities/heroes/oracle/oracle_4</v>
      </c>
      <c r="E121" s="1" t="str">
        <f t="shared" ref="E121:E131" si="50">A121</f>
        <v>oracle_4</v>
      </c>
      <c r="F121" s="1" t="s">
        <v>245</v>
      </c>
      <c r="I121" s="1">
        <v>8</v>
      </c>
      <c r="J121" s="1">
        <v>8</v>
      </c>
      <c r="K121" s="1">
        <v>24</v>
      </c>
      <c r="L121" s="1" t="s">
        <v>410</v>
      </c>
      <c r="M121" s="1">
        <v>800</v>
      </c>
      <c r="N121" s="1">
        <v>0.3</v>
      </c>
      <c r="Q121" s="1">
        <v>60</v>
      </c>
      <c r="U121" s="1" t="s">
        <v>502</v>
      </c>
      <c r="W121" s="1" t="s">
        <v>308</v>
      </c>
      <c r="X121" s="1" t="s">
        <v>208</v>
      </c>
      <c r="Y121" s="1" t="s">
        <v>209</v>
      </c>
      <c r="Z121" s="1" t="s">
        <v>524</v>
      </c>
      <c r="AA121" s="8" t="s">
        <v>210</v>
      </c>
      <c r="AB121" s="8" t="s">
        <v>412</v>
      </c>
      <c r="AC121" s="8" t="s">
        <v>219</v>
      </c>
      <c r="AD121" s="8" t="s">
        <v>269</v>
      </c>
      <c r="AE121" s="8" t="s">
        <v>220</v>
      </c>
      <c r="AF121" s="8" t="s">
        <v>523</v>
      </c>
      <c r="AG121" s="8" t="s">
        <v>211</v>
      </c>
      <c r="AH121" s="8" t="s">
        <v>641</v>
      </c>
      <c r="AI121" s="10" t="s">
        <v>628</v>
      </c>
    </row>
    <row r="122" spans="1:37" x14ac:dyDescent="0.2">
      <c r="AC122" s="8" t="s">
        <v>342</v>
      </c>
      <c r="AD122" s="8" t="s">
        <v>640</v>
      </c>
      <c r="AE122" s="8">
        <v>600</v>
      </c>
      <c r="AF122" s="8">
        <v>0.5</v>
      </c>
      <c r="AG122" s="8">
        <v>2</v>
      </c>
      <c r="AH122" s="8">
        <v>6</v>
      </c>
      <c r="AI122" s="10">
        <v>200</v>
      </c>
    </row>
    <row r="123" spans="1:37" x14ac:dyDescent="0.2">
      <c r="A123" s="1" t="s">
        <v>654</v>
      </c>
      <c r="B123" s="1" t="s">
        <v>659</v>
      </c>
      <c r="C123" s="1" t="s">
        <v>205</v>
      </c>
      <c r="D123" s="1" t="str">
        <f t="shared" si="49"/>
        <v>abilities/heroes/void_spirit/void_spirit_0</v>
      </c>
      <c r="E123" s="1" t="str">
        <f t="shared" si="50"/>
        <v>void_spirit_0</v>
      </c>
      <c r="F123" s="1" t="s">
        <v>206</v>
      </c>
      <c r="I123" s="1">
        <v>1</v>
      </c>
      <c r="Q123" s="1">
        <v>5</v>
      </c>
      <c r="U123" s="1">
        <v>50</v>
      </c>
      <c r="W123" s="1" t="s">
        <v>308</v>
      </c>
      <c r="X123" s="1" t="s">
        <v>208</v>
      </c>
      <c r="Y123" s="1" t="s">
        <v>209</v>
      </c>
      <c r="Z123" s="1" t="s">
        <v>524</v>
      </c>
      <c r="AA123" s="8" t="s">
        <v>210</v>
      </c>
    </row>
    <row r="125" spans="1:37" x14ac:dyDescent="0.2">
      <c r="A125" s="1" t="s">
        <v>655</v>
      </c>
      <c r="B125" s="1" t="s">
        <v>660</v>
      </c>
      <c r="C125" s="1" t="s">
        <v>205</v>
      </c>
      <c r="D125" s="1" t="str">
        <f t="shared" si="49"/>
        <v>abilities/heroes/void_spirit/void_spirit_1</v>
      </c>
      <c r="E125" s="1" t="str">
        <f t="shared" si="50"/>
        <v>void_spirit_1</v>
      </c>
      <c r="F125" s="1" t="s">
        <v>206</v>
      </c>
      <c r="I125" s="1">
        <v>20</v>
      </c>
      <c r="J125" s="1">
        <v>1</v>
      </c>
      <c r="K125" s="1">
        <v>3</v>
      </c>
      <c r="L125" s="1" t="s">
        <v>410</v>
      </c>
      <c r="Q125" s="1">
        <v>10</v>
      </c>
      <c r="U125" s="1" t="s">
        <v>307</v>
      </c>
      <c r="W125" s="1" t="s">
        <v>88</v>
      </c>
      <c r="X125" s="1" t="s">
        <v>208</v>
      </c>
      <c r="Y125" s="1" t="s">
        <v>209</v>
      </c>
      <c r="Z125" s="1" t="s">
        <v>524</v>
      </c>
      <c r="AA125" s="8" t="s">
        <v>210</v>
      </c>
      <c r="AC125" s="8" t="s">
        <v>219</v>
      </c>
      <c r="AD125" s="8" t="s">
        <v>269</v>
      </c>
      <c r="AE125" s="8" t="s">
        <v>665</v>
      </c>
      <c r="AF125" s="8" t="s">
        <v>633</v>
      </c>
      <c r="AG125" s="8" t="s">
        <v>666</v>
      </c>
      <c r="AH125" s="8" t="s">
        <v>220</v>
      </c>
      <c r="AI125" s="10" t="s">
        <v>232</v>
      </c>
      <c r="AJ125" s="10" t="s">
        <v>287</v>
      </c>
      <c r="AK125" s="10" t="s">
        <v>332</v>
      </c>
    </row>
    <row r="126" spans="1:37" x14ac:dyDescent="0.2">
      <c r="AC126" s="8" t="s">
        <v>384</v>
      </c>
      <c r="AD126" s="8" t="s">
        <v>347</v>
      </c>
      <c r="AE126" s="8" t="s">
        <v>384</v>
      </c>
      <c r="AF126" s="8" t="s">
        <v>671</v>
      </c>
      <c r="AG126" s="8" t="s">
        <v>667</v>
      </c>
      <c r="AH126" s="8" t="s">
        <v>664</v>
      </c>
      <c r="AI126" s="10" t="s">
        <v>668</v>
      </c>
      <c r="AJ126" s="10" t="s">
        <v>669</v>
      </c>
      <c r="AK126" s="10" t="s">
        <v>670</v>
      </c>
    </row>
    <row r="127" spans="1:37" x14ac:dyDescent="0.2">
      <c r="A127" s="1" t="s">
        <v>656</v>
      </c>
      <c r="B127" s="1" t="s">
        <v>661</v>
      </c>
      <c r="C127" s="1" t="s">
        <v>205</v>
      </c>
      <c r="D127" s="1" t="str">
        <f t="shared" si="49"/>
        <v>abilities/heroes/void_spirit/void_spirit_2</v>
      </c>
      <c r="E127" s="1" t="str">
        <f t="shared" si="50"/>
        <v>void_spirit_2</v>
      </c>
      <c r="F127" s="1" t="s">
        <v>206</v>
      </c>
      <c r="I127" s="1">
        <v>20</v>
      </c>
      <c r="J127" s="1">
        <v>1</v>
      </c>
      <c r="K127" s="1">
        <v>3</v>
      </c>
      <c r="Q127" s="1">
        <v>8</v>
      </c>
      <c r="U127" s="1" t="s">
        <v>218</v>
      </c>
      <c r="W127" s="1" t="s">
        <v>308</v>
      </c>
      <c r="X127" s="1" t="s">
        <v>208</v>
      </c>
      <c r="Y127" s="1" t="s">
        <v>209</v>
      </c>
      <c r="Z127" s="1" t="s">
        <v>524</v>
      </c>
      <c r="AA127" s="8" t="s">
        <v>210</v>
      </c>
    </row>
    <row r="129" spans="1:27" x14ac:dyDescent="0.2">
      <c r="A129" s="1" t="s">
        <v>657</v>
      </c>
      <c r="B129" s="1" t="s">
        <v>662</v>
      </c>
      <c r="C129" s="1" t="s">
        <v>205</v>
      </c>
      <c r="D129" s="1" t="str">
        <f t="shared" si="49"/>
        <v>abilities/heroes/void_spirit/void_spirit_3</v>
      </c>
      <c r="E129" s="1" t="str">
        <f t="shared" si="50"/>
        <v>void_spirit_3</v>
      </c>
      <c r="F129" s="1" t="s">
        <v>206</v>
      </c>
      <c r="I129" s="1">
        <v>20</v>
      </c>
      <c r="J129" s="1">
        <v>1</v>
      </c>
      <c r="K129" s="1">
        <v>3</v>
      </c>
      <c r="Q129" s="1">
        <v>20</v>
      </c>
      <c r="U129" s="1" t="s">
        <v>218</v>
      </c>
      <c r="W129" s="1" t="s">
        <v>88</v>
      </c>
      <c r="X129" s="1" t="s">
        <v>208</v>
      </c>
      <c r="Y129" s="1" t="s">
        <v>209</v>
      </c>
      <c r="Z129" s="1" t="s">
        <v>524</v>
      </c>
      <c r="AA129" s="8" t="s">
        <v>210</v>
      </c>
    </row>
    <row r="131" spans="1:27" x14ac:dyDescent="0.2">
      <c r="A131" s="1" t="s">
        <v>658</v>
      </c>
      <c r="B131" s="1" t="s">
        <v>663</v>
      </c>
      <c r="C131" s="1" t="s">
        <v>205</v>
      </c>
      <c r="D131" s="1" t="str">
        <f t="shared" si="49"/>
        <v>abilities/heroes/void_spirit/void_spirit_4</v>
      </c>
      <c r="E131" s="1" t="str">
        <f t="shared" si="50"/>
        <v>void_spirit_4</v>
      </c>
      <c r="F131" s="1" t="s">
        <v>245</v>
      </c>
      <c r="I131" s="1">
        <v>8</v>
      </c>
      <c r="J131" s="1">
        <v>8</v>
      </c>
      <c r="K131" s="1">
        <v>24</v>
      </c>
      <c r="O131" s="1">
        <v>2</v>
      </c>
      <c r="P131" s="1">
        <v>12</v>
      </c>
      <c r="U131" s="1" t="s">
        <v>502</v>
      </c>
      <c r="W131" s="1" t="s">
        <v>89</v>
      </c>
      <c r="X131" s="1" t="s">
        <v>208</v>
      </c>
      <c r="Y131" s="1" t="s">
        <v>209</v>
      </c>
      <c r="Z131" s="1" t="s">
        <v>524</v>
      </c>
      <c r="AA131" s="8" t="s">
        <v>210</v>
      </c>
    </row>
  </sheetData>
  <phoneticPr fontId="1" type="noConversion"/>
  <conditionalFormatting sqref="A3:XFD10000">
    <cfRule type="expression" dxfId="3" priority="2">
      <formula>MOD(ROW(A4),2)=0</formula>
    </cfRule>
    <cfRule type="expression" dxfId="2" priority="3">
      <formula>MOD(ROW(A4),4)&lt;2</formula>
    </cfRule>
    <cfRule type="expression" dxfId="1" priority="4">
      <formula>MOD(ROW(A6),4)&lt;2</formula>
    </cfRule>
  </conditionalFormatting>
  <conditionalFormatting sqref="A3:Z10000">
    <cfRule type="expression" dxfId="0" priority="1">
      <formula>AND(ISBLANK(A3)=FALSE,MOD(ROW(),2)=0)</formula>
    </cfRule>
  </conditionalFormatting>
  <dataValidations count="1">
    <dataValidation type="list" allowBlank="1" showInputMessage="1" showErrorMessage="1" sqref="C3:C1048576" xr:uid="{340536BF-6016-48D9-A456-1C1F881A84C7}">
      <formula1>"ability_lua,ability_item"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134C801-CDAE-4166-9CBB-1B9312C09949}">
          <x14:formula1>
            <xm:f>Sheet2!$F$1:$F$5</xm:f>
          </x14:formula1>
          <xm:sqref>F1:F1048576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5C8AE49-7E92-4E43-AA2A-E7A2BB6EAA7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backup_Sheet1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XueQiu Wu</dc:creator>
  <cp:lastModifiedBy>XueQiu Wu</cp:lastModifiedBy>
  <dcterms:created xsi:type="dcterms:W3CDTF">2015-06-05T18:19:34Z</dcterms:created>
  <dcterms:modified xsi:type="dcterms:W3CDTF">2021-01-09T10:34:20Z</dcterms:modified>
</cp:coreProperties>
</file>