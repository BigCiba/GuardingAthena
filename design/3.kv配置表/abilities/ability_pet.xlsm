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C403A1DF-BB5E-4CDE-AAD9-56F5875D81F5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Sheet1!$A$1:$Z$28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3" i="1" l="1"/>
  <c r="D31" i="1" l="1"/>
  <c r="D29" i="1"/>
  <c r="D27" i="1"/>
  <c r="D25" i="1"/>
  <c r="D21" i="1"/>
  <c r="D23" i="1"/>
  <c r="D19" i="1"/>
  <c r="D17" i="1"/>
  <c r="D5" i="1"/>
  <c r="D7" i="1"/>
  <c r="D9" i="1"/>
  <c r="D11" i="1"/>
  <c r="D13" i="1"/>
  <c r="D15" i="1"/>
  <c r="D3" i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<sst xmlns="http://schemas.openxmlformats.org/spreadsheetml/2006/main" count="401" uniqueCount="291">
  <si>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</si>
  <si>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</si>
  <si>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</si>
  <si>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</si>
  <si>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</si>
  <si>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</si>
  <si>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</si>
  <si>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</si>
  <si>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</si>
  <si>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</si>
  <si>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</si>
  <si>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</si>
  <si>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</si>
  <si>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</si>
  <si>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</si>
  <si>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</si>
  <si>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</si>
  <si>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</si>
  <si>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</si>
  <si>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</si>
  <si>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</si>
  <si>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</si>
  <si>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</si>
  <si>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</si>
  <si>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</si>
  <si>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</si>
  <si>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</si>
  <si>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</si>
  <si>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</si>
  <si>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</si>
  <si>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</si>
  <si>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</si>
  <si>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</si>
  <si>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</si>
  <si>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</si>
  <si>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</si>
  <si>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</si>
  <si>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</si>
  <si>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</si>
  <si>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</si>
  <si>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</si>
  <si>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</si>
  <si>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</si>
  <si>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</si>
  <si>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</si>
  <si>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</si>
  <si>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</si>
  <si>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</si>
  <si>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</si>
  <si>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</si>
  <si>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</si>
  <si>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</si>
  <si>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</si>
  <si>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</si>
  <si>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</si>
  <si>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</si>
  <si>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</si>
  <si>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</si>
  <si>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</si>
  <si>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</si>
  <si>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</si>
  <si>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</si>
  <si>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</si>
  <si>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</si>
  <si>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</si>
  <si>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</si>
  <si>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</si>
  <si>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</si>
  <si>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</si>
  <si>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</si>
  <si>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</si>
  <si>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</si>
  <si>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</si>
  <si>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</si>
  <si>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</si>
  <si>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</si>
  <si>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</si>
  <si>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</si>
  <si>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</si>
  <si>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</si>
  <si>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</si>
  <si>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</si>
  <si>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</si>
  <si>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</si>
  <si>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</si>
  <si>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</si>
  <si>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</si>
  <si>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</si>
  <si>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</si>
  <si>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</si>
  <si>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</si>
  <si>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</si>
  <si>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</si>
  <si>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</si>
  <si>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</si>
  <si>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</si>
  <si>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</si>
  <si>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</si>
  <si>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</si>
  <si>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</si>
  <si>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</si>
  <si>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</si>
  <si>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</si>
  <si>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</si>
  <si>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</si>
  <si>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</si>
  <si>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</si>
  <si>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</si>
  <si>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</si>
  <si>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</si>
  <si>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</si>
  <si>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</si>
  <si>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</si>
  <si>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</si>
  <si>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</si>
  <si>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</si>
  <si>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</si>
  <si>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</si>
  <si>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</si>
  <si>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</si>
  <si>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</si>
  <si>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</si>
  <si>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</si>
  <si>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</si>
  <si>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</si>
  <si>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</si>
  <si>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</si>
  <si>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</si>
  <si>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</si>
  <si>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</si>
  <si>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</si>
  <si>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</si>
  <si>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</si>
  <si>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</si>
  <si>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</si>
  <si>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</si>
  <si>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</si>
  <si>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</si>
  <si>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</si>
  <si>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</si>
  <si>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</si>
  <si>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</si>
  <si>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</si>
  <si>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</si>
  <si>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</si>
  <si>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</si>
  <si>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</si>
  <si>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</si>
  <si>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</si>
  <si>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</si>
  <si>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</si>
  <si>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</si>
  <si>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</si>
  <si>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</si>
  <si>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</si>
  <si>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</si>
  <si>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</si>
  <si>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</si>
  <si>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</si>
  <si>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</si>
  <si>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</si>
  <si>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</si>
  <si>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</si>
  <si>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</si>
  <si>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</si>
  <si>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</si>
  <si>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</si>
  <si>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</si>
  <si>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</si>
  <si>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</si>
  <si>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</si>
  <si>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</si>
  <si>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</si>
  <si>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</si>
  <si>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冷却时间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</si>
  <si>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</si>
  <si>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</si>
  <si>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</si>
  <si>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</si>
  <si>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</si>
  <si>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</si>
  <si>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</si>
  <si>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</si>
  <si>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</si>
  <si>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</si>
  <si>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</si>
  <si>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</si>
  <si>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</si>
  <si>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</si>
  <si>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</si>
  <si>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</si>
  <si>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</si>
  <si>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</si>
  <si>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</si>
  <si>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</si>
  <si>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</si>
  <si>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</si>
  <si>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</si>
  <si>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</si>
  <si>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</si>
  <si>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ability_lua</t>
    <phoneticPr fontId="1" type="noConversion"/>
  </si>
  <si>
    <t>radius</t>
    <phoneticPr fontId="1" type="noConversion"/>
  </si>
  <si>
    <t>damage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</si>
  <si>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</si>
  <si>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</si>
  <si>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</si>
  <si>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</si>
  <si>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</si>
  <si>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</si>
  <si>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</si>
  <si>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</si>
  <si>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</si>
  <si>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pet_4_1</t>
    <phoneticPr fontId="1" type="noConversion"/>
  </si>
  <si>
    <t>DOTA_ABILITY_BEHAVIOR_PASSIVE | DOTA_ABILITY_BEHAVIOR_NOT_LEARNABLE</t>
    <phoneticPr fontId="1" type="noConversion"/>
  </si>
  <si>
    <t>持续时间</t>
    <phoneticPr fontId="1" type="noConversion"/>
  </si>
  <si>
    <t>AbilityDuration</t>
    <phoneticPr fontId="1" type="noConversion"/>
  </si>
  <si>
    <t>伤害</t>
    <phoneticPr fontId="1" type="noConversion"/>
  </si>
  <si>
    <t>AbilityDamage</t>
    <phoneticPr fontId="1" type="noConversion"/>
  </si>
  <si>
    <t>interval</t>
    <phoneticPr fontId="1" type="noConversion"/>
  </si>
  <si>
    <t>reduce</t>
    <phoneticPr fontId="1" type="noConversion"/>
  </si>
  <si>
    <t>movespeed</t>
    <phoneticPr fontId="1" type="noConversion"/>
  </si>
  <si>
    <t>attackspeed</t>
    <phoneticPr fontId="1" type="noConversion"/>
  </si>
  <si>
    <t>pet_15_1</t>
    <phoneticPr fontId="1" type="noConversion"/>
  </si>
  <si>
    <t>小火龙</t>
    <phoneticPr fontId="1" type="noConversion"/>
  </si>
  <si>
    <t>shadow_shaman_voodoo</t>
    <phoneticPr fontId="1" type="noConversion"/>
  </si>
  <si>
    <t>keeper_of_the_light_chakra_magic</t>
    <phoneticPr fontId="1" type="noConversion"/>
  </si>
  <si>
    <t>查克拉魔法</t>
    <phoneticPr fontId="1" type="noConversion"/>
  </si>
  <si>
    <t>faceless_void_time_dilation</t>
    <phoneticPr fontId="1" type="noConversion"/>
  </si>
  <si>
    <t>lina_dragon_slave</t>
    <phoneticPr fontId="1" type="noConversion"/>
  </si>
  <si>
    <t>chen_divine_favor</t>
    <phoneticPr fontId="1" type="noConversion"/>
  </si>
  <si>
    <t>beastmaster_hawk_invisibility</t>
    <phoneticPr fontId="1" type="noConversion"/>
  </si>
  <si>
    <t>ember_spirit_flame_guard</t>
    <phoneticPr fontId="1" type="noConversion"/>
  </si>
  <si>
    <t>pet_15_2</t>
    <phoneticPr fontId="1" type="noConversion"/>
  </si>
  <si>
    <t>小龙蛋</t>
    <phoneticPr fontId="1" type="noConversion"/>
  </si>
  <si>
    <t>ember_spirit_searing_chains</t>
    <phoneticPr fontId="1" type="noConversion"/>
  </si>
  <si>
    <t>pet_16_1</t>
    <phoneticPr fontId="1" type="noConversion"/>
  </si>
  <si>
    <t>pet_16_2</t>
    <phoneticPr fontId="1" type="noConversion"/>
  </si>
  <si>
    <t>小冰龙</t>
    <phoneticPr fontId="1" type="noConversion"/>
  </si>
  <si>
    <t>ancient_apparition/ti8_immortal_back/ancient_apparition_ice_vortex_immortal</t>
    <phoneticPr fontId="1" type="noConversion"/>
  </si>
  <si>
    <t>wisp_relocate</t>
    <phoneticPr fontId="1" type="noConversion"/>
  </si>
  <si>
    <t>pet_22_1</t>
    <phoneticPr fontId="1" type="noConversion"/>
  </si>
  <si>
    <t>鞭炮</t>
    <phoneticPr fontId="1" type="noConversion"/>
  </si>
  <si>
    <t>撒币</t>
    <phoneticPr fontId="1" type="noConversion"/>
  </si>
  <si>
    <t>alchemist_goblins_greed</t>
    <phoneticPr fontId="1" type="noConversion"/>
  </si>
  <si>
    <t>pet_22_3</t>
    <phoneticPr fontId="1" type="noConversion"/>
  </si>
  <si>
    <t>咆笑</t>
    <phoneticPr fontId="1" type="noConversion"/>
  </si>
  <si>
    <t>DOTA_ABILITY_BEHAVIOR_NO_TARGET | DOTA_ABILITY_BEHAVIOR_NOT_LEARNABLE</t>
    <phoneticPr fontId="1" type="noConversion"/>
  </si>
  <si>
    <t>pet_22_4</t>
    <phoneticPr fontId="1" type="noConversion"/>
  </si>
  <si>
    <t>invoker/esl_ablityicons_relicsoftheilluminatedseer/invoker_forge_spirit</t>
    <phoneticPr fontId="1" type="noConversion"/>
  </si>
  <si>
    <t>夕</t>
    <phoneticPr fontId="1" type="noConversion"/>
  </si>
  <si>
    <t>pet_22_4_1</t>
    <phoneticPr fontId="1" type="noConversion"/>
  </si>
  <si>
    <t>pet_1_1</t>
    <phoneticPr fontId="1" type="noConversion"/>
  </si>
  <si>
    <t>pet_37_1</t>
    <phoneticPr fontId="1" type="noConversion"/>
  </si>
  <si>
    <t>pet_49_1</t>
    <phoneticPr fontId="1" type="noConversion"/>
  </si>
  <si>
    <t>pet_57_1</t>
    <phoneticPr fontId="1" type="noConversion"/>
  </si>
  <si>
    <t>pet_85_1</t>
    <phoneticPr fontId="1" type="noConversion"/>
  </si>
  <si>
    <t>pet_86_1</t>
    <phoneticPr fontId="1" type="noConversion"/>
  </si>
  <si>
    <t>pet_22_2</t>
    <phoneticPr fontId="1" type="noConversion"/>
  </si>
  <si>
    <t>小鸡下蛋</t>
    <phoneticPr fontId="1" type="noConversion"/>
  </si>
  <si>
    <t>时间凝固</t>
    <phoneticPr fontId="1" type="noConversion"/>
  </si>
  <si>
    <t>僵</t>
    <phoneticPr fontId="1" type="noConversion"/>
  </si>
  <si>
    <t>地狱火</t>
    <phoneticPr fontId="1" type="noConversion"/>
  </si>
  <si>
    <t>充电宝</t>
    <phoneticPr fontId="1" type="noConversion"/>
  </si>
  <si>
    <t>我是一只小小小小鸟</t>
    <phoneticPr fontId="1" type="noConversion"/>
  </si>
  <si>
    <t>dazzle_shallow_grave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</si>
  <si>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</si>
  <si>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</si>
  <si>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duration</t>
    <phoneticPr fontId="1" type="noConversion"/>
  </si>
  <si>
    <t>speed</t>
    <phoneticPr fontId="1" type="noConversion"/>
  </si>
  <si>
    <t>distance</t>
    <phoneticPr fontId="1" type="noConversion"/>
  </si>
  <si>
    <t>width</t>
    <phoneticPr fontId="1" type="noConversion"/>
  </si>
  <si>
    <t>pet_22_4_2</t>
    <phoneticPr fontId="1" type="noConversion"/>
  </si>
  <si>
    <t>modifier_cny_beast_aegis</t>
    <phoneticPr fontId="1" type="noConversion"/>
  </si>
  <si>
    <t>abilities/pets/pet_22_4_2</t>
  </si>
  <si>
    <t>abilities/pets/pet_22_4_1</t>
  </si>
  <si>
    <t>pet_22_4_3</t>
    <phoneticPr fontId="1" type="noConversion"/>
  </si>
  <si>
    <t>猛击</t>
    <phoneticPr fontId="1" type="noConversion"/>
  </si>
  <si>
    <t>modifier_cny2015_combat</t>
    <phoneticPr fontId="1" type="noConversion"/>
  </si>
  <si>
    <t>pet_22_4_4</t>
    <phoneticPr fontId="1" type="noConversion"/>
  </si>
  <si>
    <t>modifier_cny2015_support_aura</t>
    <phoneticPr fontId="1" type="noConversion"/>
  </si>
  <si>
    <t>pet_22_4_5</t>
    <phoneticPr fontId="1" type="noConversion"/>
  </si>
  <si>
    <t>践踏</t>
    <phoneticPr fontId="1" type="noConversion"/>
  </si>
  <si>
    <t>跳跃</t>
    <phoneticPr fontId="1" type="noConversion"/>
  </si>
  <si>
    <t>brewmaster_thunder_clap</t>
    <phoneticPr fontId="1" type="noConversion"/>
  </si>
  <si>
    <t>冲撞</t>
    <phoneticPr fontId="1" type="noConversion"/>
  </si>
  <si>
    <t>咆哮</t>
    <phoneticPr fontId="1" type="noConversion"/>
  </si>
  <si>
    <t>modifier_cny2015_speed</t>
    <phoneticPr fontId="1" type="noConversion"/>
  </si>
  <si>
    <t>DOTA_ABILITY_BEHAVIOR_POINT | DOTA_ABILITY_BEHAVIOR_NOT_LEARNABLE</t>
    <phoneticPr fontId="1" type="noConversion"/>
  </si>
  <si>
    <t>max_damage</t>
    <phoneticPr fontId="1" type="noConversion"/>
  </si>
  <si>
    <t>min_damage</t>
    <phoneticPr fontId="1" type="noConversion"/>
  </si>
  <si>
    <t>DAMAGE_TYPE_MAGICAL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</si>
</sst>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42"/>
  <sheetViews>
    <sheetView tabSelected="1" workbookViewId="0">
      <pane xSplit="2" ySplit="2" topLeftCell="P3" activePane="bottomRight" state="frozen"/>
      <selection pane="topRight" activeCell="C1" sqref="C1"/>
      <selection pane="bottomLeft" activeCell="A3" sqref="A3"/>
      <selection pane="bottomRight" activeCell="Q23" sqref="Q23"/>
    </sheetView>
  </sheetViews>
  <sheetFormatPr defaultColWidth="9" defaultRowHeight="13.9" x14ac:dyDescent="0.4"/>
  <cols>
    <col min="1" max="1" width="10.46484375" style="3" bestFit="1" customWidth="1"/>
    <col min="2" max="2" width="19.265625" style="3" bestFit="1" customWidth="1"/>
    <col min="3" max="3" width="9.3984375" style="3" bestFit="1" customWidth="1"/>
    <col min="4" max="4" width="20.73046875" style="3" bestFit="1" customWidth="1"/>
    <col min="5" max="5" width="31.1328125" style="3" bestFit="1" customWidth="1"/>
    <col min="6" max="6" width="10.46484375" style="3" bestFit="1" customWidth="1"/>
    <col min="7" max="7" width="9.1328125" style="3" bestFit="1" customWidth="1"/>
    <col min="8" max="8" width="19.265625" style="3" bestFit="1" customWidth="1"/>
    <col min="9" max="9" width="15.86328125" style="3" bestFit="1" customWidth="1"/>
    <col min="10" max="10" width="14.59765625" style="3" bestFit="1" customWidth="1"/>
    <col min="11" max="11" width="15.3984375" style="3" bestFit="1" customWidth="1"/>
    <col min="12" max="12" width="15.265625" style="3" bestFit="1" customWidth="1"/>
    <col min="13" max="13" width="17.73046875" style="3" bestFit="1" customWidth="1"/>
    <col min="14" max="14" width="74" style="3" bestFit="1" customWidth="1"/>
    <col min="15" max="15" width="33.265625" style="3" bestFit="1" customWidth="1"/>
    <col min="16" max="16" width="52.3984375" style="3" bestFit="1" customWidth="1"/>
    <col min="17" max="17" width="20.265625" style="3" bestFit="1" customWidth="1"/>
    <col min="18" max="18" width="21.86328125" style="3" bestFit="1" customWidth="1"/>
    <col min="19" max="19" width="17.73046875" style="3" bestFit="1" customWidth="1"/>
    <col min="20" max="21" width="13.86328125" style="3" bestFit="1" customWidth="1"/>
    <col min="22" max="23" width="12.46484375" style="3" bestFit="1" customWidth="1"/>
    <col min="24" max="27" width="12.46484375" style="1" bestFit="1" customWidth="1"/>
    <col min="28" max="34" width="12.46484375" style="3" bestFit="1" customWidth="1"/>
    <col min="35" max="16384" width="9" style="3"/>
  </cols>
  <sheetData>
    <row r="1" spans="1:34" s="6" customFormat="1" x14ac:dyDescent="0.4">
      <c r="A1" s="6" t="s">
        <v>164</v>
      </c>
      <c r="B1" s="6" t="s">
        <v>165</v>
      </c>
      <c r="C1" s="6" t="s">
        <v>166</v>
      </c>
      <c r="D1" s="6" t="s">
        <v>167</v>
      </c>
      <c r="E1" s="6" t="s">
        <v>168</v>
      </c>
      <c r="F1" s="6" t="s">
        <v>169</v>
      </c>
      <c r="G1" s="6" t="s">
        <v>170</v>
      </c>
      <c r="H1" s="6" t="s">
        <v>171</v>
      </c>
      <c r="I1" s="6" t="s">
        <v>172</v>
      </c>
      <c r="J1" s="6" t="s">
        <v>173</v>
      </c>
      <c r="K1" s="6" t="s">
        <v>174</v>
      </c>
      <c r="L1" s="6" t="s">
        <v>175</v>
      </c>
      <c r="M1" s="6" t="s">
        <v>176</v>
      </c>
      <c r="N1" s="6" t="s">
        <v>4</v>
      </c>
      <c r="O1" s="6" t="s">
        <v>177</v>
      </c>
      <c r="P1" s="6" t="s">
        <v>178</v>
      </c>
      <c r="Q1" s="6" t="s">
        <v>179</v>
      </c>
      <c r="R1" s="6" t="s">
        <v>180</v>
      </c>
      <c r="S1" s="6" t="s">
        <v>181</v>
      </c>
      <c r="T1" s="6" t="s">
        <v>214</v>
      </c>
      <c r="U1" s="6" t="s">
        <v>216</v>
      </c>
      <c r="V1" s="6" t="s">
        <v>182</v>
      </c>
      <c r="W1" s="6" t="s">
        <v>182</v>
      </c>
      <c r="X1" s="6" t="s">
        <v>182</v>
      </c>
      <c r="Y1" s="6" t="s">
        <v>182</v>
      </c>
      <c r="Z1" s="6" t="s">
        <v>182</v>
      </c>
      <c r="AA1" s="6" t="s">
        <v>182</v>
      </c>
      <c r="AB1" s="6" t="s">
        <v>182</v>
      </c>
      <c r="AC1" s="6" t="s">
        <v>182</v>
      </c>
      <c r="AD1" s="6" t="s">
        <v>182</v>
      </c>
      <c r="AE1" s="6" t="s">
        <v>182</v>
      </c>
      <c r="AF1" s="6" t="s">
        <v>182</v>
      </c>
      <c r="AG1" s="6" t="s">
        <v>182</v>
      </c>
      <c r="AH1" s="6" t="s">
        <v>182</v>
      </c>
    </row>
    <row r="2" spans="1:34" s="6" customFormat="1" x14ac:dyDescent="0.4">
      <c r="A2" s="6" t="s">
        <v>183</v>
      </c>
      <c r="C2" s="6" t="s">
        <v>184</v>
      </c>
      <c r="D2" s="6" t="s">
        <v>185</v>
      </c>
      <c r="E2" s="6" t="s">
        <v>186</v>
      </c>
      <c r="F2" s="6" t="s">
        <v>159</v>
      </c>
      <c r="G2" s="6" t="s">
        <v>187</v>
      </c>
      <c r="H2" s="6" t="s">
        <v>188</v>
      </c>
      <c r="I2" s="6" t="s">
        <v>189</v>
      </c>
      <c r="J2" s="6" t="s">
        <v>190</v>
      </c>
      <c r="K2" s="6" t="s">
        <v>191</v>
      </c>
      <c r="L2" s="6" t="s">
        <v>192</v>
      </c>
      <c r="M2" s="6" t="s">
        <v>193</v>
      </c>
      <c r="N2" s="6" t="s">
        <v>1</v>
      </c>
      <c r="O2" s="6" t="s">
        <v>194</v>
      </c>
      <c r="P2" s="6" t="s">
        <v>195</v>
      </c>
      <c r="Q2" s="6" t="s">
        <v>196</v>
      </c>
      <c r="R2" s="6" t="s">
        <v>197</v>
      </c>
      <c r="S2" s="6" t="s">
        <v>198</v>
      </c>
      <c r="T2" s="6" t="s">
        <v>215</v>
      </c>
      <c r="U2" s="6" t="s">
        <v>217</v>
      </c>
      <c r="V2" s="6" t="s">
        <v>199</v>
      </c>
      <c r="W2" s="6" t="s">
        <v>199</v>
      </c>
      <c r="X2" s="6" t="s">
        <v>199</v>
      </c>
      <c r="Y2" s="6" t="s">
        <v>199</v>
      </c>
      <c r="Z2" s="6" t="s">
        <v>199</v>
      </c>
      <c r="AA2" s="6" t="s">
        <v>199</v>
      </c>
      <c r="AB2" s="6" t="s">
        <v>199</v>
      </c>
      <c r="AC2" s="6" t="s">
        <v>199</v>
      </c>
      <c r="AD2" s="6" t="s">
        <v>199</v>
      </c>
      <c r="AE2" s="6" t="s">
        <v>199</v>
      </c>
      <c r="AF2" s="6" t="s">
        <v>199</v>
      </c>
      <c r="AG2" s="6" t="s">
        <v>199</v>
      </c>
      <c r="AH2" s="6" t="s">
        <v>199</v>
      </c>
    </row>
    <row r="3" spans="1:34" x14ac:dyDescent="0.4">
      <c r="A3" s="3" t="s">
        <v>251</v>
      </c>
      <c r="B3" s="3" t="s">
        <v>258</v>
      </c>
      <c r="C3" s="3" t="s">
        <v>200</v>
      </c>
      <c r="D3" s="5" t="str">
        <f>"abilities/pets/"&amp;A3</f>
        <v>abilities/pets/pet_1_1</v>
      </c>
      <c r="E3" s="3" t="s">
        <v>224</v>
      </c>
      <c r="F3" s="4"/>
      <c r="N3" s="3" t="s">
        <v>213</v>
      </c>
    </row>
    <row r="4" spans="1:34" x14ac:dyDescent="0.4">
      <c r="D4" s="5"/>
    </row>
    <row r="5" spans="1:34" x14ac:dyDescent="0.4">
      <c r="A5" s="3" t="s">
        <v>212</v>
      </c>
      <c r="B5" s="3" t="s">
        <v>226</v>
      </c>
      <c r="C5" s="3" t="s">
        <v>200</v>
      </c>
      <c r="D5" s="5" t="str">
        <f t="shared" ref="D5" si="0">"abilities/pets/"&amp;A5</f>
        <v>abilities/pets/pet_4_1</v>
      </c>
      <c r="E5" s="3" t="s">
        <v>225</v>
      </c>
      <c r="F5" s="4"/>
      <c r="N5" s="3" t="s">
        <v>213</v>
      </c>
      <c r="V5" s="3" t="s">
        <v>218</v>
      </c>
      <c r="W5" s="3" t="s">
        <v>219</v>
      </c>
    </row>
    <row r="6" spans="1:34" x14ac:dyDescent="0.4">
      <c r="D6" s="5"/>
      <c r="V6" s="3">
        <v>6</v>
      </c>
      <c r="W6" s="3">
        <v>30</v>
      </c>
    </row>
    <row r="7" spans="1:34" s="4" customFormat="1" x14ac:dyDescent="0.4">
      <c r="A7" s="4" t="s">
        <v>252</v>
      </c>
      <c r="B7" s="4" t="s">
        <v>259</v>
      </c>
      <c r="C7" s="4" t="s">
        <v>200</v>
      </c>
      <c r="D7" s="5" t="str">
        <f t="shared" ref="D7" si="1">"abilities/pets/"&amp;A7</f>
        <v>abilities/pets/pet_37_1</v>
      </c>
      <c r="E7" s="4" t="s">
        <v>227</v>
      </c>
      <c r="N7" s="4" t="s">
        <v>213</v>
      </c>
      <c r="O7" s="4" t="s">
        <v>265</v>
      </c>
      <c r="P7" s="4" t="s">
        <v>266</v>
      </c>
      <c r="V7" s="4" t="s">
        <v>218</v>
      </c>
      <c r="W7" s="4" t="s">
        <v>267</v>
      </c>
      <c r="X7" s="2" t="s">
        <v>201</v>
      </c>
      <c r="Y7" s="2"/>
      <c r="Z7" s="2"/>
      <c r="AA7" s="2"/>
    </row>
    <row r="8" spans="1:34" s="4" customFormat="1" x14ac:dyDescent="0.4">
      <c r="D8" s="5"/>
      <c r="V8" s="4">
        <v>11</v>
      </c>
      <c r="W8" s="4">
        <v>2.5</v>
      </c>
      <c r="X8" s="2">
        <v>600</v>
      </c>
      <c r="Y8" s="2"/>
      <c r="Z8" s="2"/>
      <c r="AA8" s="2"/>
    </row>
    <row r="9" spans="1:34" x14ac:dyDescent="0.4">
      <c r="A9" s="3" t="s">
        <v>253</v>
      </c>
      <c r="B9" s="3" t="s">
        <v>260</v>
      </c>
      <c r="C9" s="3" t="s">
        <v>200</v>
      </c>
      <c r="D9" s="5" t="str">
        <f t="shared" ref="D9" si="2">"abilities/pets/"&amp;A9</f>
        <v>abilities/pets/pet_49_1</v>
      </c>
      <c r="E9" s="3" t="s">
        <v>264</v>
      </c>
      <c r="F9" s="4"/>
      <c r="K9" s="3">
        <v>90</v>
      </c>
      <c r="N9" s="3" t="s">
        <v>213</v>
      </c>
      <c r="V9" s="3" t="s">
        <v>267</v>
      </c>
    </row>
    <row r="10" spans="1:34" x14ac:dyDescent="0.4">
      <c r="D10" s="5"/>
      <c r="V10" s="3">
        <v>5</v>
      </c>
    </row>
    <row r="11" spans="1:34" s="4" customFormat="1" x14ac:dyDescent="0.4">
      <c r="A11" s="4" t="s">
        <v>254</v>
      </c>
      <c r="B11" s="4" t="s">
        <v>261</v>
      </c>
      <c r="C11" s="4" t="s">
        <v>200</v>
      </c>
      <c r="D11" s="5" t="str">
        <f t="shared" ref="D11" si="3">"abilities/pets/"&amp;A11</f>
        <v>abilities/pets/pet_57_1</v>
      </c>
      <c r="E11" s="4" t="s">
        <v>228</v>
      </c>
      <c r="F11" s="3"/>
      <c r="N11" s="4" t="s">
        <v>213</v>
      </c>
      <c r="R11" s="4" t="s">
        <v>290</v>
      </c>
      <c r="V11" s="4" t="s">
        <v>218</v>
      </c>
      <c r="W11" s="4" t="s">
        <v>202</v>
      </c>
      <c r="X11" s="2" t="s">
        <v>268</v>
      </c>
      <c r="Y11" s="2" t="s">
        <v>269</v>
      </c>
      <c r="Z11" s="2" t="s">
        <v>270</v>
      </c>
      <c r="AA11" s="2"/>
    </row>
    <row r="12" spans="1:34" s="4" customFormat="1" x14ac:dyDescent="0.4">
      <c r="D12" s="5"/>
      <c r="V12" s="4">
        <v>15</v>
      </c>
      <c r="W12" s="4">
        <v>10</v>
      </c>
      <c r="X12" s="2">
        <v>900</v>
      </c>
      <c r="Y12" s="2">
        <v>1300</v>
      </c>
      <c r="Z12" s="2">
        <v>300</v>
      </c>
      <c r="AA12" s="2"/>
    </row>
    <row r="13" spans="1:34" x14ac:dyDescent="0.4">
      <c r="A13" s="3" t="s">
        <v>255</v>
      </c>
      <c r="B13" s="3" t="s">
        <v>262</v>
      </c>
      <c r="C13" s="3" t="s">
        <v>200</v>
      </c>
      <c r="D13" s="5" t="str">
        <f t="shared" ref="D13" si="4">"abilities/pets/"&amp;A13</f>
        <v>abilities/pets/pet_85_1</v>
      </c>
      <c r="E13" s="3" t="s">
        <v>229</v>
      </c>
      <c r="F13" s="4"/>
      <c r="N13" s="3" t="s">
        <v>213</v>
      </c>
      <c r="V13" s="3" t="s">
        <v>218</v>
      </c>
      <c r="W13" s="3" t="s">
        <v>267</v>
      </c>
    </row>
    <row r="14" spans="1:34" x14ac:dyDescent="0.4">
      <c r="D14" s="5"/>
      <c r="V14" s="3">
        <v>12</v>
      </c>
      <c r="W14" s="3">
        <v>2</v>
      </c>
    </row>
    <row r="15" spans="1:34" s="4" customFormat="1" x14ac:dyDescent="0.4">
      <c r="A15" s="4" t="s">
        <v>256</v>
      </c>
      <c r="B15" s="4" t="s">
        <v>263</v>
      </c>
      <c r="C15" s="4" t="s">
        <v>200</v>
      </c>
      <c r="D15" s="5" t="str">
        <f t="shared" ref="D15:D17" si="5">"abilities/pets/"&amp;A15</f>
        <v>abilities/pets/pet_86_1</v>
      </c>
      <c r="E15" s="4" t="s">
        <v>230</v>
      </c>
      <c r="N15" s="4" t="s">
        <v>213</v>
      </c>
      <c r="V15" s="4" t="s">
        <v>218</v>
      </c>
      <c r="W15" s="4" t="s">
        <v>267</v>
      </c>
      <c r="X15" s="2" t="s">
        <v>220</v>
      </c>
      <c r="Y15" s="2" t="s">
        <v>221</v>
      </c>
      <c r="Z15" s="2"/>
      <c r="AA15" s="2"/>
    </row>
    <row r="16" spans="1:34" s="4" customFormat="1" x14ac:dyDescent="0.4">
      <c r="D16" s="5"/>
      <c r="V16" s="4">
        <v>8</v>
      </c>
      <c r="W16" s="4">
        <v>3</v>
      </c>
      <c r="X16" s="2">
        <v>60</v>
      </c>
      <c r="Y16" s="2">
        <v>200</v>
      </c>
      <c r="Z16" s="2"/>
      <c r="AA16" s="2"/>
    </row>
    <row r="17" spans="1:24" x14ac:dyDescent="0.4">
      <c r="A17" s="3" t="s">
        <v>222</v>
      </c>
      <c r="B17" s="3" t="s">
        <v>223</v>
      </c>
      <c r="C17" s="4" t="s">
        <v>200</v>
      </c>
      <c r="D17" s="5" t="str">
        <f t="shared" si="5"/>
        <v>abilities/pets/pet_15_1</v>
      </c>
      <c r="E17" s="3" t="s">
        <v>231</v>
      </c>
      <c r="F17" s="4"/>
      <c r="N17" s="4" t="s">
        <v>213</v>
      </c>
      <c r="O17" s="4" t="s">
        <v>265</v>
      </c>
      <c r="P17" s="4" t="s">
        <v>266</v>
      </c>
      <c r="R17" s="3" t="s">
        <v>203</v>
      </c>
      <c r="U17" s="3">
        <v>2</v>
      </c>
      <c r="V17" s="4" t="s">
        <v>218</v>
      </c>
      <c r="W17" s="1" t="s">
        <v>201</v>
      </c>
    </row>
    <row r="18" spans="1:24" x14ac:dyDescent="0.4">
      <c r="C18" s="4"/>
      <c r="D18" s="5"/>
      <c r="N18" s="4"/>
      <c r="V18" s="4">
        <v>0.25</v>
      </c>
      <c r="W18" s="1">
        <v>400</v>
      </c>
    </row>
    <row r="19" spans="1:24" x14ac:dyDescent="0.4">
      <c r="A19" s="3" t="s">
        <v>232</v>
      </c>
      <c r="B19" s="3" t="s">
        <v>233</v>
      </c>
      <c r="C19" s="4" t="s">
        <v>200</v>
      </c>
      <c r="D19" s="5" t="str">
        <f t="shared" ref="D19" si="6">"abilities/pets/"&amp;A19</f>
        <v>abilities/pets/pet_15_2</v>
      </c>
      <c r="E19" s="3" t="s">
        <v>234</v>
      </c>
      <c r="F19" s="4"/>
      <c r="K19" s="3">
        <v>90</v>
      </c>
      <c r="N19" s="4" t="s">
        <v>213</v>
      </c>
      <c r="O19" s="4"/>
      <c r="P19" s="4"/>
      <c r="V19" s="3" t="s">
        <v>218</v>
      </c>
    </row>
    <row r="20" spans="1:24" x14ac:dyDescent="0.4">
      <c r="C20" s="4"/>
      <c r="D20" s="5"/>
      <c r="N20" s="4"/>
      <c r="V20" s="3">
        <v>90</v>
      </c>
    </row>
    <row r="21" spans="1:24" x14ac:dyDescent="0.4">
      <c r="A21" s="3" t="s">
        <v>235</v>
      </c>
      <c r="B21" s="3" t="s">
        <v>237</v>
      </c>
      <c r="C21" s="4" t="s">
        <v>200</v>
      </c>
      <c r="D21" s="5" t="str">
        <f t="shared" ref="D21" si="7">"abilities/pets/"&amp;A21</f>
        <v>abilities/pets/pet_16_1</v>
      </c>
      <c r="E21" s="3" t="s">
        <v>238</v>
      </c>
      <c r="F21" s="4"/>
      <c r="N21" s="4" t="s">
        <v>213</v>
      </c>
      <c r="O21" s="4" t="s">
        <v>265</v>
      </c>
      <c r="P21" s="4" t="s">
        <v>266</v>
      </c>
      <c r="V21" s="4" t="s">
        <v>220</v>
      </c>
      <c r="W21" s="3" t="s">
        <v>221</v>
      </c>
      <c r="X21" s="1" t="s">
        <v>201</v>
      </c>
    </row>
    <row r="22" spans="1:24" x14ac:dyDescent="0.4">
      <c r="C22" s="4"/>
      <c r="D22" s="5"/>
      <c r="N22" s="4"/>
      <c r="V22" s="4">
        <v>15</v>
      </c>
      <c r="W22" s="3">
        <v>30</v>
      </c>
      <c r="X22" s="1">
        <v>600</v>
      </c>
    </row>
    <row r="23" spans="1:24" x14ac:dyDescent="0.4">
      <c r="A23" s="3" t="s">
        <v>236</v>
      </c>
      <c r="B23" s="3" t="s">
        <v>233</v>
      </c>
      <c r="C23" s="4" t="s">
        <v>200</v>
      </c>
      <c r="D23" s="5" t="str">
        <f t="shared" ref="D23" si="8">"abilities/pets/"&amp;A23</f>
        <v>abilities/pets/pet_16_2</v>
      </c>
      <c r="E23" s="3" t="s">
        <v>239</v>
      </c>
      <c r="F23" s="4"/>
      <c r="K23" s="3">
        <v>90</v>
      </c>
      <c r="N23" s="4" t="s">
        <v>213</v>
      </c>
      <c r="O23" s="4"/>
      <c r="P23" s="4"/>
    </row>
    <row r="24" spans="1:24" x14ac:dyDescent="0.4">
      <c r="C24" s="4"/>
      <c r="D24" s="5"/>
      <c r="N24" s="4"/>
    </row>
    <row r="25" spans="1:24" x14ac:dyDescent="0.4">
      <c r="A25" s="3" t="s">
        <v>240</v>
      </c>
      <c r="B25" s="3" t="s">
        <v>241</v>
      </c>
      <c r="C25" s="4" t="s">
        <v>200</v>
      </c>
      <c r="D25" s="5" t="str">
        <f t="shared" ref="D25" si="9">"abilities/pets/"&amp;A25</f>
        <v>abilities/pets/pet_22_1</v>
      </c>
      <c r="E25" s="3" t="s">
        <v>240</v>
      </c>
      <c r="F25" s="4"/>
      <c r="K25" s="3">
        <v>10</v>
      </c>
      <c r="N25" s="4" t="s">
        <v>213</v>
      </c>
      <c r="O25" s="4" t="s">
        <v>265</v>
      </c>
      <c r="P25" s="4" t="s">
        <v>266</v>
      </c>
      <c r="T25" s="3">
        <v>3</v>
      </c>
      <c r="U25" s="3">
        <v>2</v>
      </c>
      <c r="V25" s="3" t="s">
        <v>201</v>
      </c>
    </row>
    <row r="26" spans="1:24" x14ac:dyDescent="0.4">
      <c r="C26" s="4"/>
      <c r="D26" s="5"/>
      <c r="N26" s="4"/>
      <c r="V26" s="3">
        <v>400</v>
      </c>
    </row>
    <row r="27" spans="1:24" x14ac:dyDescent="0.4">
      <c r="A27" s="3" t="s">
        <v>257</v>
      </c>
      <c r="B27" s="3" t="s">
        <v>242</v>
      </c>
      <c r="C27" s="4" t="s">
        <v>200</v>
      </c>
      <c r="D27" s="5" t="str">
        <f t="shared" ref="D27" si="10">"abilities/pets/"&amp;A27</f>
        <v>abilities/pets/pet_22_2</v>
      </c>
      <c r="E27" s="3" t="s">
        <v>243</v>
      </c>
      <c r="F27" s="4"/>
      <c r="K27" s="3">
        <v>60</v>
      </c>
      <c r="N27" s="4" t="s">
        <v>213</v>
      </c>
      <c r="O27" s="4"/>
      <c r="P27" s="4"/>
      <c r="T27" s="3">
        <v>2</v>
      </c>
      <c r="V27" s="3" t="s">
        <v>218</v>
      </c>
    </row>
    <row r="28" spans="1:24" x14ac:dyDescent="0.4">
      <c r="C28" s="4"/>
      <c r="D28" s="5"/>
      <c r="N28" s="4"/>
      <c r="V28" s="3">
        <v>0.1</v>
      </c>
    </row>
    <row r="29" spans="1:24" x14ac:dyDescent="0.4">
      <c r="A29" s="3" t="s">
        <v>244</v>
      </c>
      <c r="B29" s="3" t="s">
        <v>245</v>
      </c>
      <c r="C29" s="4" t="s">
        <v>200</v>
      </c>
      <c r="D29" s="5" t="str">
        <f t="shared" ref="D29" si="11">"abilities/pets/"&amp;A29</f>
        <v>abilities/pets/pet_22_3</v>
      </c>
      <c r="E29" s="3" t="s">
        <v>272</v>
      </c>
      <c r="K29" s="3">
        <v>15</v>
      </c>
      <c r="N29" s="3" t="s">
        <v>246</v>
      </c>
      <c r="O29" s="4" t="s">
        <v>265</v>
      </c>
      <c r="P29" s="4" t="s">
        <v>266</v>
      </c>
      <c r="T29" s="3">
        <v>3</v>
      </c>
    </row>
    <row r="30" spans="1:24" x14ac:dyDescent="0.4">
      <c r="C30" s="4"/>
      <c r="D30" s="5"/>
    </row>
    <row r="31" spans="1:24" x14ac:dyDescent="0.4">
      <c r="A31" s="3" t="s">
        <v>247</v>
      </c>
      <c r="B31" s="3" t="s">
        <v>249</v>
      </c>
      <c r="C31" s="4" t="s">
        <v>200</v>
      </c>
      <c r="D31" s="5" t="str">
        <f t="shared" ref="D31" si="12">"abilities/pets/"&amp;A31</f>
        <v>abilities/pets/pet_22_4</v>
      </c>
      <c r="E31" s="3" t="s">
        <v>248</v>
      </c>
      <c r="K31" s="3">
        <v>300</v>
      </c>
      <c r="N31" s="3" t="s">
        <v>246</v>
      </c>
      <c r="T31" s="3">
        <v>45</v>
      </c>
    </row>
    <row r="32" spans="1:24" x14ac:dyDescent="0.4">
      <c r="C32" s="4"/>
      <c r="D32" s="5"/>
    </row>
    <row r="33" spans="1:24" x14ac:dyDescent="0.4">
      <c r="A33" s="3" t="s">
        <v>250</v>
      </c>
      <c r="B33" s="3" t="s">
        <v>276</v>
      </c>
      <c r="C33" s="4" t="s">
        <v>200</v>
      </c>
      <c r="D33" s="5" t="str">
        <f t="shared" ref="D33" si="13">"abilities/pets/"&amp;A33</f>
        <v>abilities/pets/pet_22_4_1</v>
      </c>
      <c r="E33" s="3" t="s">
        <v>277</v>
      </c>
      <c r="N33" s="4" t="s">
        <v>213</v>
      </c>
      <c r="O33" s="4" t="s">
        <v>265</v>
      </c>
      <c r="P33" s="4" t="s">
        <v>266</v>
      </c>
      <c r="T33" s="3">
        <v>0.5</v>
      </c>
      <c r="V33" s="3" t="s">
        <v>201</v>
      </c>
      <c r="W33" s="3" t="s">
        <v>269</v>
      </c>
    </row>
    <row r="34" spans="1:24" x14ac:dyDescent="0.4">
      <c r="C34" s="4"/>
      <c r="D34" s="5"/>
      <c r="V34" s="3">
        <v>300</v>
      </c>
      <c r="W34" s="3">
        <v>150</v>
      </c>
    </row>
    <row r="35" spans="1:24" x14ac:dyDescent="0.4">
      <c r="A35" s="3" t="s">
        <v>271</v>
      </c>
      <c r="B35" s="3" t="s">
        <v>281</v>
      </c>
      <c r="C35" s="3" t="s">
        <v>200</v>
      </c>
      <c r="D35" s="3" t="s">
        <v>273</v>
      </c>
      <c r="E35" s="3" t="s">
        <v>286</v>
      </c>
      <c r="J35" s="3">
        <v>1.74</v>
      </c>
      <c r="K35" s="3">
        <v>8</v>
      </c>
      <c r="N35" s="3" t="s">
        <v>246</v>
      </c>
      <c r="O35" s="3" t="s">
        <v>265</v>
      </c>
      <c r="P35" s="3" t="s">
        <v>266</v>
      </c>
      <c r="T35" s="3">
        <v>2</v>
      </c>
      <c r="U35" s="3">
        <v>10</v>
      </c>
      <c r="V35" s="3" t="s">
        <v>201</v>
      </c>
    </row>
    <row r="36" spans="1:24" x14ac:dyDescent="0.4">
      <c r="V36" s="3">
        <v>400</v>
      </c>
    </row>
    <row r="37" spans="1:24" x14ac:dyDescent="0.4">
      <c r="A37" s="3" t="s">
        <v>275</v>
      </c>
      <c r="B37" s="3" t="s">
        <v>284</v>
      </c>
      <c r="C37" s="3" t="s">
        <v>200</v>
      </c>
      <c r="D37" s="3" t="s">
        <v>273</v>
      </c>
      <c r="E37" s="3" t="s">
        <v>279</v>
      </c>
      <c r="I37" s="3">
        <v>1500</v>
      </c>
      <c r="J37" s="3">
        <v>1.74</v>
      </c>
      <c r="K37" s="3">
        <v>16</v>
      </c>
      <c r="N37" s="3" t="s">
        <v>287</v>
      </c>
      <c r="O37" s="3" t="s">
        <v>265</v>
      </c>
      <c r="P37" s="3" t="s">
        <v>266</v>
      </c>
      <c r="U37" s="3">
        <v>15</v>
      </c>
      <c r="V37" s="3" t="s">
        <v>269</v>
      </c>
      <c r="W37" s="3" t="s">
        <v>268</v>
      </c>
    </row>
    <row r="38" spans="1:24" x14ac:dyDescent="0.4">
      <c r="V38" s="3">
        <v>1500</v>
      </c>
      <c r="W38" s="3">
        <v>1500</v>
      </c>
    </row>
    <row r="39" spans="1:24" x14ac:dyDescent="0.4">
      <c r="A39" s="3" t="s">
        <v>278</v>
      </c>
      <c r="B39" s="3" t="s">
        <v>282</v>
      </c>
      <c r="C39" s="4" t="s">
        <v>200</v>
      </c>
      <c r="D39" s="5" t="s">
        <v>274</v>
      </c>
      <c r="E39" s="3" t="s">
        <v>283</v>
      </c>
      <c r="I39" s="3">
        <v>600</v>
      </c>
      <c r="J39" s="3">
        <v>0.6</v>
      </c>
      <c r="K39" s="3">
        <v>8</v>
      </c>
      <c r="N39" s="3" t="s">
        <v>287</v>
      </c>
      <c r="O39" s="4" t="s">
        <v>265</v>
      </c>
      <c r="P39" s="4" t="s">
        <v>266</v>
      </c>
      <c r="T39" s="3">
        <v>2</v>
      </c>
      <c r="U39" s="3">
        <v>10</v>
      </c>
      <c r="V39" s="3" t="s">
        <v>267</v>
      </c>
    </row>
    <row r="40" spans="1:24" x14ac:dyDescent="0.4">
      <c r="C40" s="4"/>
      <c r="D40" s="5"/>
      <c r="V40" s="3">
        <v>0.6</v>
      </c>
    </row>
    <row r="41" spans="1:24" x14ac:dyDescent="0.4">
      <c r="A41" s="3" t="s">
        <v>280</v>
      </c>
      <c r="B41" s="3" t="s">
        <v>285</v>
      </c>
      <c r="C41" s="4" t="s">
        <v>200</v>
      </c>
      <c r="D41" s="5" t="s">
        <v>274</v>
      </c>
      <c r="E41" s="3" t="s">
        <v>272</v>
      </c>
      <c r="J41" s="3">
        <v>1.8</v>
      </c>
      <c r="K41" s="3">
        <v>60</v>
      </c>
      <c r="N41" s="3" t="s">
        <v>246</v>
      </c>
      <c r="O41" s="4" t="s">
        <v>265</v>
      </c>
      <c r="P41" s="4" t="s">
        <v>266</v>
      </c>
      <c r="T41" s="3">
        <v>7</v>
      </c>
      <c r="V41" s="3" t="s">
        <v>288</v>
      </c>
      <c r="W41" s="3" t="s">
        <v>289</v>
      </c>
      <c r="X41" s="1" t="s">
        <v>201</v>
      </c>
    </row>
    <row r="42" spans="1:24" x14ac:dyDescent="0.4">
      <c r="C42" s="4"/>
      <c r="D42" s="5"/>
      <c r="V42" s="3">
        <v>30</v>
      </c>
      <c r="W42" s="3">
        <v>10</v>
      </c>
      <c r="X42" s="1">
        <v>600</v>
      </c>
    </row>
  </sheetData>
  <phoneticPr fontId="1" type="noConversion"/>
  <conditionalFormatting sqref="A3:U1048576">
    <cfRule type="expression" dxfId="6" priority="37">
      <formula>AND(ISBLANK(A3)=FALSE,MOD(ROW(),2)=0)</formula>
    </cfRule>
  </conditionalFormatting>
  <conditionalFormatting sqref="A3:XFD1048563">
    <cfRule type="expression" dxfId="5" priority="40">
      <formula>MOD(ROW(A4),2)=0</formula>
    </cfRule>
    <cfRule type="expression" dxfId="4" priority="41">
      <formula>MOD(ROW(A4),4)&lt;2</formula>
    </cfRule>
    <cfRule type="expression" dxfId="3" priority="44">
      <formula>MOD(ROW(A6),4)&lt;2</formula>
    </cfRule>
  </conditionalFormatting>
  <dataValidations disablePrompts="1"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F9" sqref="F9"/>
    </sheetView>
  </sheetViews>
  <sheetFormatPr defaultColWidth="9" defaultRowHeight="13.9" x14ac:dyDescent="0.4"/>
  <cols>
    <col min="1" max="1" width="9" style="7"/>
    <col min="2" max="2" width="11.3984375" style="7" bestFit="1" customWidth="1"/>
    <col min="3" max="3" width="15.3984375" style="7" customWidth="1"/>
    <col min="4" max="4" width="15.1328125" style="8" bestFit="1" customWidth="1"/>
    <col min="5" max="5" width="51" style="8" bestFit="1" customWidth="1"/>
    <col min="6" max="6" width="34.86328125" style="8" customWidth="1"/>
    <col min="7" max="8" width="28.59765625" style="7" customWidth="1"/>
    <col min="9" max="9" width="26.3984375" style="8" customWidth="1"/>
    <col min="10" max="10" width="16" style="8" customWidth="1"/>
    <col min="11" max="11" width="9" style="8"/>
    <col min="12" max="12" width="20.265625" style="7" customWidth="1"/>
    <col min="13" max="13" width="15.265625" style="7" customWidth="1"/>
    <col min="14" max="14" width="23" style="8" customWidth="1"/>
    <col min="15" max="16384" width="9" style="8"/>
  </cols>
  <sheetData>
    <row r="1" spans="1:10" s="6" customFormat="1" x14ac:dyDescent="0.4">
      <c r="A1" s="6" t="s">
        <v>7</v>
      </c>
      <c r="B1" s="6" t="s">
        <v>2</v>
      </c>
      <c r="C1" s="6" t="s">
        <v>152</v>
      </c>
      <c r="D1" s="6" t="s">
        <v>4</v>
      </c>
      <c r="E1" s="6" t="s">
        <v>1</v>
      </c>
      <c r="F1" s="6" t="s">
        <v>159</v>
      </c>
      <c r="I1" s="6" t="s">
        <v>148</v>
      </c>
      <c r="J1" s="6" t="s">
        <v>149</v>
      </c>
    </row>
    <row r="2" spans="1:10" x14ac:dyDescent="0.4">
      <c r="A2" s="7" t="s">
        <v>6</v>
      </c>
      <c r="B2" s="7" t="s">
        <v>3</v>
      </c>
      <c r="C2" s="7" t="s">
        <v>153</v>
      </c>
      <c r="D2" s="8" t="s">
        <v>105</v>
      </c>
      <c r="E2" s="8" t="s">
        <v>86</v>
      </c>
      <c r="F2" s="8" t="s">
        <v>161</v>
      </c>
      <c r="I2" s="8" t="e">
        <f>"abilities/boss/"&amp;Sheet1!#REF!</f>
        <v>#REF!</v>
      </c>
      <c r="J2" s="8" t="s">
        <v>150</v>
      </c>
    </row>
    <row r="3" spans="1:10" x14ac:dyDescent="0.4">
      <c r="A3" s="7" t="s">
        <v>151</v>
      </c>
      <c r="B3" s="7" t="s">
        <v>147</v>
      </c>
      <c r="C3" s="7" t="s">
        <v>154</v>
      </c>
      <c r="D3" s="8" t="s">
        <v>109</v>
      </c>
      <c r="E3" s="8" t="s">
        <v>87</v>
      </c>
      <c r="F3" s="8" t="s">
        <v>162</v>
      </c>
      <c r="I3" s="8" t="s">
        <v>157</v>
      </c>
    </row>
    <row r="4" spans="1:10" x14ac:dyDescent="0.4">
      <c r="A4" s="7" t="s">
        <v>8</v>
      </c>
      <c r="B4" s="7" t="s">
        <v>9</v>
      </c>
      <c r="C4" s="7" t="s">
        <v>155</v>
      </c>
      <c r="D4" s="8" t="s">
        <v>110</v>
      </c>
      <c r="E4" s="8" t="s">
        <v>0</v>
      </c>
      <c r="F4" s="8" t="s">
        <v>163</v>
      </c>
    </row>
    <row r="5" spans="1:10" x14ac:dyDescent="0.4">
      <c r="A5" s="7" t="s">
        <v>43</v>
      </c>
      <c r="B5" s="7" t="s">
        <v>10</v>
      </c>
      <c r="C5" s="7" t="s">
        <v>156</v>
      </c>
      <c r="D5" s="8" t="s">
        <v>111</v>
      </c>
      <c r="E5" s="8" t="s">
        <v>88</v>
      </c>
      <c r="F5" s="8" t="s">
        <v>160</v>
      </c>
    </row>
    <row r="6" spans="1:10" x14ac:dyDescent="0.4">
      <c r="A6" s="7" t="s">
        <v>44</v>
      </c>
      <c r="B6" s="7" t="s">
        <v>11</v>
      </c>
      <c r="D6" s="8" t="s">
        <v>112</v>
      </c>
      <c r="E6" s="8" t="s">
        <v>5</v>
      </c>
      <c r="F6" s="6" t="s">
        <v>197</v>
      </c>
    </row>
    <row r="7" spans="1:10" x14ac:dyDescent="0.4">
      <c r="A7" s="7" t="s">
        <v>45</v>
      </c>
      <c r="B7" s="7" t="s">
        <v>12</v>
      </c>
      <c r="D7" s="8" t="s">
        <v>113</v>
      </c>
      <c r="E7" s="8" t="s">
        <v>89</v>
      </c>
      <c r="F7" s="7" t="s">
        <v>205</v>
      </c>
    </row>
    <row r="8" spans="1:10" x14ac:dyDescent="0.4">
      <c r="A8" s="7" t="s">
        <v>46</v>
      </c>
      <c r="B8" s="7" t="s">
        <v>13</v>
      </c>
      <c r="D8" s="8" t="s">
        <v>114</v>
      </c>
      <c r="E8" s="8" t="s">
        <v>90</v>
      </c>
      <c r="F8" s="7" t="s">
        <v>206</v>
      </c>
    </row>
    <row r="9" spans="1:10" x14ac:dyDescent="0.4">
      <c r="A9" s="7" t="s">
        <v>47</v>
      </c>
      <c r="B9" s="7" t="s">
        <v>14</v>
      </c>
      <c r="D9" s="8" t="s">
        <v>115</v>
      </c>
      <c r="E9" s="8" t="s">
        <v>91</v>
      </c>
      <c r="F9" s="7" t="s">
        <v>290</v>
      </c>
    </row>
    <row r="10" spans="1:10" x14ac:dyDescent="0.4">
      <c r="A10" s="7" t="s">
        <v>48</v>
      </c>
      <c r="B10" s="7" t="s">
        <v>15</v>
      </c>
      <c r="D10" s="8" t="s">
        <v>116</v>
      </c>
      <c r="E10" s="8" t="s">
        <v>158</v>
      </c>
      <c r="F10" s="7" t="s">
        <v>207</v>
      </c>
    </row>
    <row r="11" spans="1:10" x14ac:dyDescent="0.4">
      <c r="A11" s="7" t="s">
        <v>49</v>
      </c>
      <c r="B11" s="7" t="s">
        <v>16</v>
      </c>
      <c r="D11" s="8" t="s">
        <v>117</v>
      </c>
      <c r="E11" s="8" t="s">
        <v>92</v>
      </c>
      <c r="F11" s="7" t="s">
        <v>204</v>
      </c>
    </row>
    <row r="12" spans="1:10" x14ac:dyDescent="0.4">
      <c r="A12" s="7" t="s">
        <v>50</v>
      </c>
      <c r="B12" s="7" t="s">
        <v>17</v>
      </c>
      <c r="D12" s="8" t="s">
        <v>118</v>
      </c>
      <c r="E12" s="8" t="s">
        <v>93</v>
      </c>
      <c r="F12" s="7" t="s">
        <v>208</v>
      </c>
    </row>
    <row r="13" spans="1:10" x14ac:dyDescent="0.4">
      <c r="A13" s="7" t="s">
        <v>51</v>
      </c>
      <c r="B13" s="7" t="s">
        <v>18</v>
      </c>
      <c r="D13" s="8" t="s">
        <v>139</v>
      </c>
      <c r="E13" s="8" t="s">
        <v>138</v>
      </c>
      <c r="F13" s="6" t="s">
        <v>209</v>
      </c>
    </row>
    <row r="14" spans="1:10" x14ac:dyDescent="0.4">
      <c r="A14" s="7" t="s">
        <v>52</v>
      </c>
      <c r="B14" s="7" t="s">
        <v>19</v>
      </c>
      <c r="D14" s="8" t="s">
        <v>119</v>
      </c>
      <c r="E14" s="8" t="s">
        <v>94</v>
      </c>
      <c r="F14" s="7" t="s">
        <v>210</v>
      </c>
    </row>
    <row r="15" spans="1:10" x14ac:dyDescent="0.4">
      <c r="A15" s="7" t="s">
        <v>53</v>
      </c>
      <c r="B15" s="7" t="s">
        <v>21</v>
      </c>
      <c r="D15" s="8" t="s">
        <v>120</v>
      </c>
      <c r="E15" s="8" t="s">
        <v>95</v>
      </c>
      <c r="F15" s="7" t="s">
        <v>211</v>
      </c>
    </row>
    <row r="16" spans="1:10" x14ac:dyDescent="0.4">
      <c r="A16" s="7" t="s">
        <v>54</v>
      </c>
      <c r="B16" s="7" t="s">
        <v>69</v>
      </c>
      <c r="D16" s="8" t="s">
        <v>121</v>
      </c>
      <c r="E16" s="8" t="s">
        <v>140</v>
      </c>
    </row>
    <row r="17" spans="1:5" x14ac:dyDescent="0.4">
      <c r="A17" s="7" t="s">
        <v>55</v>
      </c>
      <c r="B17" s="7" t="s">
        <v>22</v>
      </c>
      <c r="D17" s="8" t="s">
        <v>122</v>
      </c>
      <c r="E17" s="8" t="s">
        <v>141</v>
      </c>
    </row>
    <row r="18" spans="1:5" x14ac:dyDescent="0.4">
      <c r="A18" s="7" t="s">
        <v>56</v>
      </c>
      <c r="B18" s="7" t="s">
        <v>23</v>
      </c>
      <c r="D18" s="8" t="s">
        <v>123</v>
      </c>
      <c r="E18" s="8" t="s">
        <v>142</v>
      </c>
    </row>
    <row r="19" spans="1:5" x14ac:dyDescent="0.4">
      <c r="A19" s="7" t="s">
        <v>57</v>
      </c>
      <c r="B19" s="7" t="s">
        <v>24</v>
      </c>
      <c r="D19" s="8" t="s">
        <v>124</v>
      </c>
      <c r="E19" s="8" t="s">
        <v>96</v>
      </c>
    </row>
    <row r="20" spans="1:5" x14ac:dyDescent="0.4">
      <c r="A20" s="7" t="s">
        <v>58</v>
      </c>
      <c r="B20" s="7" t="s">
        <v>25</v>
      </c>
      <c r="D20" s="8" t="s">
        <v>125</v>
      </c>
      <c r="E20" s="8" t="s">
        <v>97</v>
      </c>
    </row>
    <row r="21" spans="1:5" x14ac:dyDescent="0.4">
      <c r="A21" s="7" t="s">
        <v>59</v>
      </c>
      <c r="B21" s="7" t="s">
        <v>26</v>
      </c>
      <c r="D21" s="8" t="s">
        <v>126</v>
      </c>
      <c r="E21" s="8" t="s">
        <v>106</v>
      </c>
    </row>
    <row r="22" spans="1:5" x14ac:dyDescent="0.4">
      <c r="A22" s="7" t="s">
        <v>60</v>
      </c>
      <c r="B22" s="7" t="s">
        <v>27</v>
      </c>
      <c r="D22" s="8" t="s">
        <v>127</v>
      </c>
      <c r="E22" s="8" t="s">
        <v>143</v>
      </c>
    </row>
    <row r="23" spans="1:5" x14ac:dyDescent="0.4">
      <c r="A23" s="7" t="s">
        <v>61</v>
      </c>
      <c r="B23" s="7" t="s">
        <v>28</v>
      </c>
      <c r="D23" s="8" t="s">
        <v>128</v>
      </c>
      <c r="E23" s="8" t="s">
        <v>144</v>
      </c>
    </row>
    <row r="24" spans="1:5" x14ac:dyDescent="0.4">
      <c r="A24" s="7" t="s">
        <v>62</v>
      </c>
      <c r="B24" s="7" t="s">
        <v>29</v>
      </c>
      <c r="D24" s="8" t="s">
        <v>145</v>
      </c>
      <c r="E24" s="8" t="s">
        <v>107</v>
      </c>
    </row>
    <row r="25" spans="1:5" x14ac:dyDescent="0.4">
      <c r="A25" s="7" t="s">
        <v>63</v>
      </c>
      <c r="B25" s="7" t="s">
        <v>30</v>
      </c>
      <c r="D25" s="8" t="s">
        <v>129</v>
      </c>
      <c r="E25" s="8" t="s">
        <v>98</v>
      </c>
    </row>
    <row r="26" spans="1:5" x14ac:dyDescent="0.4">
      <c r="A26" s="7" t="s">
        <v>64</v>
      </c>
      <c r="B26" s="7" t="s">
        <v>31</v>
      </c>
      <c r="D26" s="8" t="s">
        <v>130</v>
      </c>
      <c r="E26" s="8" t="s">
        <v>146</v>
      </c>
    </row>
    <row r="27" spans="1:5" x14ac:dyDescent="0.4">
      <c r="A27" s="7" t="s">
        <v>65</v>
      </c>
      <c r="B27" s="7" t="s">
        <v>20</v>
      </c>
      <c r="D27" s="8" t="s">
        <v>131</v>
      </c>
      <c r="E27" s="8" t="s">
        <v>108</v>
      </c>
    </row>
    <row r="28" spans="1:5" x14ac:dyDescent="0.4">
      <c r="A28" s="7" t="s">
        <v>66</v>
      </c>
      <c r="B28" s="7" t="s">
        <v>32</v>
      </c>
      <c r="D28" s="8" t="s">
        <v>132</v>
      </c>
      <c r="E28" s="8" t="s">
        <v>99</v>
      </c>
    </row>
    <row r="29" spans="1:5" x14ac:dyDescent="0.4">
      <c r="A29" s="7" t="s">
        <v>67</v>
      </c>
      <c r="B29" s="7" t="s">
        <v>33</v>
      </c>
      <c r="D29" s="8" t="s">
        <v>133</v>
      </c>
      <c r="E29" s="8" t="s">
        <v>100</v>
      </c>
    </row>
    <row r="30" spans="1:5" x14ac:dyDescent="0.4">
      <c r="A30" s="7" t="s">
        <v>73</v>
      </c>
      <c r="B30" s="7" t="s">
        <v>68</v>
      </c>
      <c r="D30" s="8" t="s">
        <v>134</v>
      </c>
      <c r="E30" s="8" t="s">
        <v>101</v>
      </c>
    </row>
    <row r="31" spans="1:5" x14ac:dyDescent="0.4">
      <c r="A31" s="7" t="s">
        <v>74</v>
      </c>
      <c r="B31" s="7" t="s">
        <v>70</v>
      </c>
      <c r="D31" s="8" t="s">
        <v>135</v>
      </c>
      <c r="E31" s="8" t="s">
        <v>102</v>
      </c>
    </row>
    <row r="32" spans="1:5" x14ac:dyDescent="0.4">
      <c r="A32" s="7" t="s">
        <v>75</v>
      </c>
      <c r="B32" s="7" t="s">
        <v>71</v>
      </c>
      <c r="D32" s="8" t="s">
        <v>136</v>
      </c>
      <c r="E32" s="8" t="s">
        <v>103</v>
      </c>
    </row>
    <row r="33" spans="1:5" x14ac:dyDescent="0.4">
      <c r="A33" s="7" t="s">
        <v>76</v>
      </c>
      <c r="B33" s="7" t="s">
        <v>72</v>
      </c>
      <c r="D33" s="8" t="s">
        <v>137</v>
      </c>
      <c r="E33" s="8" t="s">
        <v>104</v>
      </c>
    </row>
    <row r="34" spans="1:5" x14ac:dyDescent="0.4">
      <c r="A34" s="7" t="s">
        <v>77</v>
      </c>
      <c r="B34" s="7" t="s">
        <v>34</v>
      </c>
    </row>
    <row r="35" spans="1:5" x14ac:dyDescent="0.4">
      <c r="A35" s="7" t="s">
        <v>78</v>
      </c>
      <c r="B35" s="7" t="s">
        <v>35</v>
      </c>
    </row>
    <row r="36" spans="1:5" x14ac:dyDescent="0.4">
      <c r="A36" s="7" t="s">
        <v>79</v>
      </c>
      <c r="B36" s="7" t="s">
        <v>36</v>
      </c>
    </row>
    <row r="37" spans="1:5" x14ac:dyDescent="0.4">
      <c r="A37" s="7" t="s">
        <v>80</v>
      </c>
      <c r="B37" s="7" t="s">
        <v>37</v>
      </c>
    </row>
    <row r="38" spans="1:5" x14ac:dyDescent="0.4">
      <c r="A38" s="7" t="s">
        <v>81</v>
      </c>
      <c r="B38" s="7" t="s">
        <v>38</v>
      </c>
    </row>
    <row r="39" spans="1:5" x14ac:dyDescent="0.4">
      <c r="A39" s="7" t="s">
        <v>82</v>
      </c>
      <c r="B39" s="7" t="s">
        <v>39</v>
      </c>
    </row>
    <row r="40" spans="1:5" x14ac:dyDescent="0.4">
      <c r="A40" s="7" t="s">
        <v>83</v>
      </c>
      <c r="B40" s="7" t="s">
        <v>40</v>
      </c>
    </row>
    <row r="41" spans="1:5" x14ac:dyDescent="0.4">
      <c r="A41" s="7" t="s">
        <v>84</v>
      </c>
      <c r="B41" s="7" t="s">
        <v>41</v>
      </c>
    </row>
    <row r="42" spans="1:5" x14ac:dyDescent="0.4">
      <c r="A42" s="7" t="s">
        <v>85</v>
      </c>
      <c r="B42" s="7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2020-05-06T15:58:33Z</dcterms:modified>
</cp:coreProperties>
</file>