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mc:AlternateContent xmlns:mc="http://schemas.openxmlformats.org/markup-compatibility/2006">
    <mc:Choice Requires="x15">
      <x15ac:absPath xmlns:x15ac="http://schemas.microsoft.com/office/spreadsheetml/2010/11/ac" url="C:\Users\wan\Documents\Dota Addons\Guarding Athena\design\3.kv配置表\abilities\"/>
    </mc:Choice>
  </mc:AlternateContent>
  <xr:revisionPtr revIDLastSave="0" documentId="13_ncr:1_{8EA296BD-D96E-4A99-BB81-21BC301D3234}" xr6:coauthVersionLast="45" xr6:coauthVersionMax="45" xr10:uidLastSave="{00000000-0000-0000-0000-000000000000}"/>
  <bookViews>
    <workbookView xWindow="15495" yWindow="5115" windowWidth="16740" windowHeight="13275" xr2:uid="{00000000-000D-0000-FFFF-FFFF00000000}"/>
  </bookViews>
  <sheets>
    <sheet name="Sheet1" sheetId="1" r:id="rId1"/>
    <sheet name="Sheet2" sheetId="2" r:id="rId2"/>
  </sheets>
  <definedNames>
    <definedName name="_xlnm._FilterDatabase" localSheetId="0" hidden="1">Sheet1!$A$1:$AA$48</definedName>
    <definedName name="ability" localSheetId="0">Sheet1!#REF!</definedName>
    <definedName name="ability_1" localSheetId="0">Sheet1!#REF!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9" i="1" l="1"/>
  <c r="D17" i="1"/>
  <c r="D15" i="1"/>
  <c r="D13" i="1"/>
  <c r="D5" i="1"/>
  <c r="D3" i="1" l="1"/>
  <c r="D9" i="1"/>
  <c r="D11" i="1"/>
  <c r="D21" i="1"/>
  <c r="D23" i="1"/>
  <c r="D25" i="1"/>
  <c r="D27" i="1"/>
  <c r="D29" i="1"/>
  <c r="D31" i="1"/>
  <c r="D33" i="1"/>
  <c r="D35" i="1"/>
  <c r="D37" i="1"/>
  <c r="D39" i="1"/>
  <c r="D41" i="1"/>
  <c r="D43" i="1"/>
  <c r="D45" i="1"/>
  <c r="D47" i="1"/>
  <c r="D49" i="1"/>
  <c r="D51" i="1"/>
  <c r="D53" i="1"/>
  <c r="D55" i="1"/>
  <c r="D57" i="1"/>
  <c r="D59" i="1"/>
  <c r="D61" i="1"/>
  <c r="D63" i="1"/>
  <c r="D65" i="1"/>
  <c r="D67" i="1"/>
  <c r="D69" i="1"/>
  <c r="D71" i="1"/>
  <c r="D73" i="1"/>
  <c r="D75" i="1"/>
  <c r="D77" i="1"/>
  <c r="D79" i="1"/>
  <c r="D81" i="1"/>
  <c r="D83" i="1"/>
  <c r="D85" i="1"/>
  <c r="D87" i="1"/>
  <c r="D89" i="1"/>
  <c r="D91" i="1"/>
  <c r="D93" i="1"/>
  <c r="D95" i="1"/>
  <c r="D97" i="1"/>
  <c r="D99" i="1"/>
  <c r="D101" i="1"/>
  <c r="D103" i="1"/>
  <c r="D105" i="1"/>
  <c r="D107" i="1"/>
  <c r="D109" i="1"/>
  <c r="D111" i="1"/>
  <c r="D113" i="1"/>
  <c r="D115" i="1"/>
  <c r="D117" i="1"/>
  <c r="D119" i="1"/>
  <c r="D121" i="1"/>
  <c r="D123" i="1"/>
  <c r="D125" i="1"/>
  <c r="D127" i="1"/>
  <c r="D129" i="1"/>
  <c r="D131" i="1"/>
  <c r="D133" i="1"/>
  <c r="D135" i="1"/>
  <c r="D137" i="1"/>
  <c r="D139" i="1"/>
  <c r="D141" i="1"/>
  <c r="D143" i="1"/>
  <c r="D145" i="1"/>
  <c r="D147" i="1"/>
  <c r="D149" i="1"/>
  <c r="D151" i="1"/>
  <c r="D7" i="1"/>
  <c r="I2" i="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54ACDEE-1818-4BF4-AF3A-D71E2E847528}" keepAlive="1" name="查询 - ability" description="与工作簿中“ability”查询的连接。" type="5" refreshedVersion="6" background="1" saveData="1">
    <dbPr connection="Provider=Microsoft.Mashup.OleDb.1;Data Source=$Workbook$;Location=ability;Extended Properties=&quot;&quot;" command="SELECT * FROM [ability]"/>
  </connection>
</connections>
</file>

<file path=xl/sharedStrings.xml><?xml version="1.0" encoding="utf-8"?>
<sst xmlns="http://schemas.openxmlformats.org/spreadsheetml/2006/main" count="1068" uniqueCount="555">
  <si>
    <t>DOTA_ABILITY_BEHAVIOR_PASSIVE</t>
    <phoneticPr fontId="1" type="noConversion"/>
  </si>
  <si>
    <t>AbilityBehavior</t>
    <phoneticPr fontId="1" type="noConversion"/>
  </si>
  <si>
    <t>Tag</t>
    <phoneticPr fontId="1" type="noConversion"/>
  </si>
  <si>
    <t>base</t>
    <phoneticPr fontId="1" type="noConversion"/>
  </si>
  <si>
    <t>技能行为</t>
    <phoneticPr fontId="1" type="noConversion"/>
  </si>
  <si>
    <t>DOTA_ABILITY_BEHAVIOR_UNIT_TARGET</t>
    <phoneticPr fontId="1" type="noConversion"/>
  </si>
  <si>
    <t>基础技能</t>
    <phoneticPr fontId="1" type="noConversion"/>
  </si>
  <si>
    <t>技能标签</t>
    <phoneticPr fontId="1" type="noConversion"/>
  </si>
  <si>
    <t>机甲</t>
    <phoneticPr fontId="1" type="noConversion"/>
  </si>
  <si>
    <t>warframe</t>
    <phoneticPr fontId="1" type="noConversion"/>
  </si>
  <si>
    <t>gunner</t>
    <phoneticPr fontId="1" type="noConversion"/>
  </si>
  <si>
    <t>techie</t>
    <phoneticPr fontId="1" type="noConversion"/>
  </si>
  <si>
    <t>dwarf</t>
    <phoneticPr fontId="1" type="noConversion"/>
  </si>
  <si>
    <t>magician</t>
    <phoneticPr fontId="1" type="noConversion"/>
  </si>
  <si>
    <t>electricity</t>
    <phoneticPr fontId="1" type="noConversion"/>
  </si>
  <si>
    <t>undead</t>
    <phoneticPr fontId="1" type="noConversion"/>
  </si>
  <si>
    <t>prophet</t>
    <phoneticPr fontId="1" type="noConversion"/>
  </si>
  <si>
    <t>terra</t>
    <phoneticPr fontId="1" type="noConversion"/>
  </si>
  <si>
    <t>elementalist</t>
    <phoneticPr fontId="1" type="noConversion"/>
  </si>
  <si>
    <t>fire</t>
    <phoneticPr fontId="1" type="noConversion"/>
  </si>
  <si>
    <t>demon</t>
    <phoneticPr fontId="1" type="noConversion"/>
  </si>
  <si>
    <t>ogre</t>
    <phoneticPr fontId="1" type="noConversion"/>
  </si>
  <si>
    <t>sorcerer</t>
    <phoneticPr fontId="1" type="noConversion"/>
  </si>
  <si>
    <t>knight</t>
    <phoneticPr fontId="1" type="noConversion"/>
  </si>
  <si>
    <t>assassin</t>
    <phoneticPr fontId="1" type="noConversion"/>
  </si>
  <si>
    <t>astral</t>
    <phoneticPr fontId="1" type="noConversion"/>
  </si>
  <si>
    <t>archean</t>
    <phoneticPr fontId="1" type="noConversion"/>
  </si>
  <si>
    <t>protector</t>
    <phoneticPr fontId="1" type="noConversion"/>
  </si>
  <si>
    <t>cleric</t>
    <phoneticPr fontId="1" type="noConversion"/>
  </si>
  <si>
    <t>shaman</t>
    <phoneticPr fontId="1" type="noConversion"/>
  </si>
  <si>
    <t>human</t>
    <phoneticPr fontId="1" type="noConversion"/>
  </si>
  <si>
    <t>ranger</t>
    <phoneticPr fontId="1" type="noConversion"/>
  </si>
  <si>
    <t>hell</t>
    <phoneticPr fontId="1" type="noConversion"/>
  </si>
  <si>
    <t>shadow</t>
    <phoneticPr fontId="1" type="noConversion"/>
  </si>
  <si>
    <t>kobold</t>
    <phoneticPr fontId="1" type="noConversion"/>
  </si>
  <si>
    <t>champion</t>
    <phoneticPr fontId="1" type="noConversion"/>
  </si>
  <si>
    <t>thief</t>
    <phoneticPr fontId="1" type="noConversion"/>
  </si>
  <si>
    <t>laws</t>
    <phoneticPr fontId="1" type="noConversion"/>
  </si>
  <si>
    <t>dragon</t>
    <phoneticPr fontId="1" type="noConversion"/>
  </si>
  <si>
    <t>warlock</t>
    <phoneticPr fontId="1" type="noConversion"/>
  </si>
  <si>
    <t>priests</t>
    <phoneticPr fontId="1" type="noConversion"/>
  </si>
  <si>
    <t>mage</t>
    <phoneticPr fontId="1" type="noConversion"/>
  </si>
  <si>
    <t>monster</t>
    <phoneticPr fontId="1" type="noConversion"/>
  </si>
  <si>
    <t>枪炮手</t>
    <phoneticPr fontId="1" type="noConversion"/>
  </si>
  <si>
    <t>工程师</t>
    <phoneticPr fontId="1" type="noConversion"/>
  </si>
  <si>
    <t>矮人</t>
    <phoneticPr fontId="1" type="noConversion"/>
  </si>
  <si>
    <t>魔法师</t>
    <phoneticPr fontId="1" type="noConversion"/>
  </si>
  <si>
    <t>电元素</t>
    <phoneticPr fontId="1" type="noConversion"/>
  </si>
  <si>
    <t>亡灵</t>
    <phoneticPr fontId="1" type="noConversion"/>
  </si>
  <si>
    <t>先知</t>
    <phoneticPr fontId="1" type="noConversion"/>
  </si>
  <si>
    <t>土元素</t>
    <phoneticPr fontId="1" type="noConversion"/>
  </si>
  <si>
    <t>元素使</t>
    <phoneticPr fontId="1" type="noConversion"/>
  </si>
  <si>
    <t>火元素</t>
    <phoneticPr fontId="1" type="noConversion"/>
  </si>
  <si>
    <t>食人魔</t>
    <phoneticPr fontId="1" type="noConversion"/>
  </si>
  <si>
    <t>战士</t>
    <phoneticPr fontId="1" type="noConversion"/>
  </si>
  <si>
    <t>巫师</t>
    <phoneticPr fontId="1" type="noConversion"/>
  </si>
  <si>
    <t>骑士</t>
    <phoneticPr fontId="1" type="noConversion"/>
  </si>
  <si>
    <t>刺客</t>
    <phoneticPr fontId="1" type="noConversion"/>
  </si>
  <si>
    <t>星界</t>
    <phoneticPr fontId="1" type="noConversion"/>
  </si>
  <si>
    <t>太古</t>
    <phoneticPr fontId="1" type="noConversion"/>
  </si>
  <si>
    <t>护卫</t>
    <phoneticPr fontId="1" type="noConversion"/>
  </si>
  <si>
    <t>祭祀</t>
    <phoneticPr fontId="1" type="noConversion"/>
  </si>
  <si>
    <t>萨满</t>
    <phoneticPr fontId="1" type="noConversion"/>
  </si>
  <si>
    <t>人类</t>
    <phoneticPr fontId="1" type="noConversion"/>
  </si>
  <si>
    <t>游侠</t>
    <phoneticPr fontId="1" type="noConversion"/>
  </si>
  <si>
    <t>恶魔</t>
    <phoneticPr fontId="1" type="noConversion"/>
  </si>
  <si>
    <t>地狱</t>
    <phoneticPr fontId="1" type="noConversion"/>
  </si>
  <si>
    <t>暗影</t>
    <phoneticPr fontId="1" type="noConversion"/>
  </si>
  <si>
    <t>berserker</t>
    <phoneticPr fontId="1" type="noConversion"/>
  </si>
  <si>
    <t>warrior</t>
    <phoneticPr fontId="1" type="noConversion"/>
  </si>
  <si>
    <t>elves</t>
    <phoneticPr fontId="1" type="noConversion"/>
  </si>
  <si>
    <t>banshee</t>
    <phoneticPr fontId="1" type="noConversion"/>
  </si>
  <si>
    <t>golem</t>
    <phoneticPr fontId="1" type="noConversion"/>
  </si>
  <si>
    <t>狂战士</t>
    <phoneticPr fontId="1" type="noConversion"/>
  </si>
  <si>
    <t>精灵</t>
    <phoneticPr fontId="1" type="noConversion"/>
  </si>
  <si>
    <t>女妖</t>
    <phoneticPr fontId="1" type="noConversion"/>
  </si>
  <si>
    <t>魔像</t>
    <phoneticPr fontId="1" type="noConversion"/>
  </si>
  <si>
    <t>狗头人</t>
    <phoneticPr fontId="1" type="noConversion"/>
  </si>
  <si>
    <t>指挥官</t>
    <phoneticPr fontId="1" type="noConversion"/>
  </si>
  <si>
    <t>盗贼</t>
    <phoneticPr fontId="1" type="noConversion"/>
  </si>
  <si>
    <t>法则</t>
    <phoneticPr fontId="1" type="noConversion"/>
  </si>
  <si>
    <t>龙族</t>
    <phoneticPr fontId="1" type="noConversion"/>
  </si>
  <si>
    <t>术士</t>
    <phoneticPr fontId="1" type="noConversion"/>
  </si>
  <si>
    <t>牧师</t>
    <phoneticPr fontId="1" type="noConversion"/>
  </si>
  <si>
    <t>贤者</t>
    <phoneticPr fontId="1" type="noConversion"/>
  </si>
  <si>
    <t>巨兽</t>
    <phoneticPr fontId="1" type="noConversion"/>
  </si>
  <si>
    <t>DOTA_ABILITY_BEHAVIOR_NONE</t>
    <phoneticPr fontId="1" type="noConversion"/>
  </si>
  <si>
    <t>DOTA_ABILITY_BEHAVIOR_HIDDEN</t>
    <phoneticPr fontId="1" type="noConversion"/>
  </si>
  <si>
    <t>DOTA_ABILITY_BEHAVIOR_NO_TARGET</t>
    <phoneticPr fontId="1" type="noConversion"/>
  </si>
  <si>
    <t>DOTA_ABILITY_BEHAVIOR_POINT</t>
    <phoneticPr fontId="1" type="noConversion"/>
  </si>
  <si>
    <t>DOTA_ABILITY_BEHAVIOR_AOE</t>
  </si>
  <si>
    <t>DOTA_ABILITY_BEHAVIOR_NOT_LEARNABLE</t>
  </si>
  <si>
    <t>DOTA_ABILITY_BEHAVIOR_ITEM</t>
  </si>
  <si>
    <t>DOTA_ABILITY_BEHAVIOR_TOGGLE</t>
  </si>
  <si>
    <t>DOTA_ABILITY_BEHAVIOR_IMMEDIATE</t>
  </si>
  <si>
    <t>DOTA_ABILITY_BEHAVIOR_AUTOCAST</t>
  </si>
  <si>
    <t>DOTA_ABILITY_BEHAVIOR_AURA</t>
  </si>
  <si>
    <t>DOTA_ABILITY_BEHAVIOR_ATTACK</t>
  </si>
  <si>
    <t>DOTA_ABILITY_BEHAVIOR_IGNORE_CHANNEL</t>
  </si>
  <si>
    <t>DOTA_ABILITY_BEHAVIOR_DONT_RESUME_ATTACK</t>
  </si>
  <si>
    <t>DOTA_ABILITY_BEHAVIOR_NORMAL_WHEN_STOLEN</t>
  </si>
  <si>
    <t>DOTA_ABILITY_BEHAVIOR_IGNORE_BACKSWING</t>
  </si>
  <si>
    <t>DOTA_ABILITY_BEHAVIOR_RUNE_TARGET</t>
  </si>
  <si>
    <t>DOTA_ABILITY_BEHAVIOR_DONT_CANCEL_CHANNEL</t>
  </si>
  <si>
    <t>DOTA_ABILITY_LAST_BEHAVIOR</t>
  </si>
  <si>
    <t>无</t>
  </si>
  <si>
    <t>DOTA_ABILITY_BEHAVIOR_DONT_RESUME_MOVEMENT</t>
    <phoneticPr fontId="1" type="noConversion"/>
  </si>
  <si>
    <t>DOTA_ABILITY_BEHAVIOR_IGNORE_PSEUDO_QUEUE</t>
    <phoneticPr fontId="1" type="noConversion"/>
  </si>
  <si>
    <t>DOTA_ABILITY_BEHAVIOR_DONT_ALERT_TARGET</t>
    <phoneticPr fontId="1" type="noConversion"/>
  </si>
  <si>
    <t>隐藏</t>
  </si>
  <si>
    <t>被动</t>
  </si>
  <si>
    <t>无目标</t>
  </si>
  <si>
    <t>单位目标</t>
  </si>
  <si>
    <t>点目标</t>
  </si>
  <si>
    <t>范围指示</t>
  </si>
  <si>
    <t>不能学习</t>
  </si>
  <si>
    <t>持续施法</t>
  </si>
  <si>
    <t>物品</t>
  </si>
  <si>
    <t>切换</t>
  </si>
  <si>
    <t>立即施放</t>
  </si>
  <si>
    <t>自动施法</t>
  </si>
  <si>
    <t>可选单位目标</t>
  </si>
  <si>
    <t>可选点目标</t>
  </si>
  <si>
    <t>可选无目标</t>
  </si>
  <si>
    <t>光环</t>
  </si>
  <si>
    <t>攻击</t>
  </si>
  <si>
    <t>不恢复移动</t>
  </si>
  <si>
    <t>缠绕禁用</t>
  </si>
  <si>
    <t>无限制</t>
  </si>
  <si>
    <t>忽略持续施法</t>
  </si>
  <si>
    <t>不取消移动</t>
  </si>
  <si>
    <t>不惊醒目标</t>
  </si>
  <si>
    <t>不恢复攻击</t>
  </si>
  <si>
    <t>偷取</t>
  </si>
  <si>
    <t>忽略后摇</t>
  </si>
  <si>
    <t>神符目标</t>
  </si>
  <si>
    <t>不取消持续施法</t>
  </si>
  <si>
    <t>末尾标记</t>
  </si>
  <si>
    <t>DOTA_ABILITY_BEHAVIOR_DIRECTIONAL</t>
    <phoneticPr fontId="1" type="noConversion"/>
  </si>
  <si>
    <t>指向</t>
    <phoneticPr fontId="1" type="noConversion"/>
  </si>
  <si>
    <t>DOTA_ABILITY_BEHAVIOR_OPTIONAL_UNIT_TARGET</t>
    <phoneticPr fontId="1" type="noConversion"/>
  </si>
  <si>
    <t>DOTA_ABILITY_BEHAVIOR_OPTIONAL_POINT</t>
    <phoneticPr fontId="1" type="noConversion"/>
  </si>
  <si>
    <t>DOTA_ABILITY_BEHAVIOR_OPTIONAL_NO_TARGET</t>
    <phoneticPr fontId="1" type="noConversion"/>
  </si>
  <si>
    <t>DOTA_ABILITY_BEHAVIOR_ROOT_DISABLES</t>
    <phoneticPr fontId="1" type="noConversion"/>
  </si>
  <si>
    <t>DOTA_ABILITY_BEHAVIOR_UNRESTRICTED</t>
    <phoneticPr fontId="1" type="noConversion"/>
  </si>
  <si>
    <t>忽略指令队列</t>
    <phoneticPr fontId="1" type="noConversion"/>
  </si>
  <si>
    <t>DOTA_ABILITY_BEHAVIOR_DONT_CANCEL_MOVEMENT</t>
    <phoneticPr fontId="1" type="noConversion"/>
  </si>
  <si>
    <t>bionic</t>
    <phoneticPr fontId="1" type="noConversion"/>
  </si>
  <si>
    <t>常用公式</t>
    <phoneticPr fontId="1" type="noConversion"/>
  </si>
  <si>
    <t>说明</t>
    <phoneticPr fontId="1" type="noConversion"/>
  </si>
  <si>
    <t>脚本路径生成</t>
    <phoneticPr fontId="1" type="noConversion"/>
  </si>
  <si>
    <t>铆钉城</t>
    <phoneticPr fontId="1" type="noConversion"/>
  </si>
  <si>
    <t>设定</t>
    <phoneticPr fontId="1" type="noConversion"/>
  </si>
  <si>
    <t>技能标签列数</t>
    <phoneticPr fontId="1" type="noConversion"/>
  </si>
  <si>
    <t>J</t>
    <phoneticPr fontId="1" type="noConversion"/>
  </si>
  <si>
    <t>Tag列数</t>
    <phoneticPr fontId="1" type="noConversion"/>
  </si>
  <si>
    <t>I</t>
    <phoneticPr fontId="1" type="noConversion"/>
  </si>
  <si>
    <t>abilities/spell/sp_revolt</t>
  </si>
  <si>
    <t>DOTA_ABILITY_BEHAVIOR_CHANNELLED</t>
    <phoneticPr fontId="1" type="noConversion"/>
  </si>
  <si>
    <t>AbilityType</t>
    <phoneticPr fontId="1" type="noConversion"/>
  </si>
  <si>
    <t>DOTA_ABILITY_TYPE_ULTIMATE</t>
  </si>
  <si>
    <t>DOTA_ABILITY_TYPE_ATTRIBUTES</t>
  </si>
  <si>
    <t>DOTA_ABILITY_TYPE_BASIC</t>
  </si>
  <si>
    <t>DOTA_ABILITY_TYPE_HIDDEN</t>
  </si>
  <si>
    <t>技能名</t>
    <phoneticPr fontId="1" type="noConversion"/>
  </si>
  <si>
    <t>备注</t>
    <phoneticPr fontId="1" type="noConversion"/>
  </si>
  <si>
    <t>基类</t>
    <phoneticPr fontId="1" type="noConversion"/>
  </si>
  <si>
    <t>脚本</t>
    <phoneticPr fontId="1" type="noConversion"/>
  </si>
  <si>
    <t>技能图标</t>
    <phoneticPr fontId="1" type="noConversion"/>
  </si>
  <si>
    <t>技能类型</t>
    <phoneticPr fontId="1" type="noConversion"/>
  </si>
  <si>
    <t>最大等级</t>
    <phoneticPr fontId="1" type="noConversion"/>
  </si>
  <si>
    <t>施法动作</t>
    <phoneticPr fontId="1" type="noConversion"/>
  </si>
  <si>
    <t>施法距离</t>
    <phoneticPr fontId="1" type="noConversion"/>
  </si>
  <si>
    <t>施法前摇</t>
    <phoneticPr fontId="1" type="noConversion"/>
  </si>
  <si>
    <t>冷却时间</t>
    <phoneticPr fontId="1" type="noConversion"/>
  </si>
  <si>
    <t>魔法消耗</t>
    <phoneticPr fontId="1" type="noConversion"/>
  </si>
  <si>
    <t>持续施法时间</t>
    <phoneticPr fontId="1" type="noConversion"/>
  </si>
  <si>
    <t>技能目标队伍</t>
    <phoneticPr fontId="1" type="noConversion"/>
  </si>
  <si>
    <t>技能目标类型</t>
    <phoneticPr fontId="1" type="noConversion"/>
  </si>
  <si>
    <t>技能目标标记</t>
    <phoneticPr fontId="1" type="noConversion"/>
  </si>
  <si>
    <t>伤害类型</t>
    <phoneticPr fontId="1" type="noConversion"/>
  </si>
  <si>
    <t>无视魔免</t>
    <phoneticPr fontId="1" type="noConversion"/>
  </si>
  <si>
    <t>键值</t>
    <phoneticPr fontId="1" type="noConversion"/>
  </si>
  <si>
    <t>Name</t>
    <phoneticPr fontId="1" type="noConversion"/>
  </si>
  <si>
    <t>BaseClass</t>
    <phoneticPr fontId="1" type="noConversion"/>
  </si>
  <si>
    <t>ScriptFile</t>
    <phoneticPr fontId="1" type="noConversion"/>
  </si>
  <si>
    <t>AbilityTextureName</t>
    <phoneticPr fontId="1" type="noConversion"/>
  </si>
  <si>
    <t>MaxLevel</t>
    <phoneticPr fontId="1" type="noConversion"/>
  </si>
  <si>
    <t>AbilityCastAnimation</t>
    <phoneticPr fontId="1" type="noConversion"/>
  </si>
  <si>
    <t>AbilityCastRange</t>
    <phoneticPr fontId="1" type="noConversion"/>
  </si>
  <si>
    <t>AbilityCastPoint</t>
    <phoneticPr fontId="1" type="noConversion"/>
  </si>
  <si>
    <t>AbilityCooldown</t>
    <phoneticPr fontId="1" type="noConversion"/>
  </si>
  <si>
    <t>AbilityManaCost</t>
    <phoneticPr fontId="1" type="noConversion"/>
  </si>
  <si>
    <t>AbilityChannelTime</t>
    <phoneticPr fontId="1" type="noConversion"/>
  </si>
  <si>
    <t>AbilityUnitTargetTeam</t>
    <phoneticPr fontId="1" type="noConversion"/>
  </si>
  <si>
    <t>AbilityUnitTargetType</t>
    <phoneticPr fontId="1" type="noConversion"/>
  </si>
  <si>
    <t>AbilityUnitTargetFlags</t>
    <phoneticPr fontId="1" type="noConversion"/>
  </si>
  <si>
    <t>AbilityUnitDamageType</t>
    <phoneticPr fontId="1" type="noConversion"/>
  </si>
  <si>
    <t>SpellImmunityType</t>
    <phoneticPr fontId="1" type="noConversion"/>
  </si>
  <si>
    <t>AbilitySpecial</t>
    <phoneticPr fontId="1" type="noConversion"/>
  </si>
  <si>
    <t>DOTA_ABILITY_TYPE_BASIC</t>
    <phoneticPr fontId="1" type="noConversion"/>
  </si>
  <si>
    <t>DOTA_UNIT_TARGET_TEAM_ENEMY</t>
    <phoneticPr fontId="1" type="noConversion"/>
  </si>
  <si>
    <t>DOTA_UNIT_TARGET_HERO | DOTA_UNIT_TARGET_BASIC</t>
    <phoneticPr fontId="1" type="noConversion"/>
  </si>
  <si>
    <t>stun_duration</t>
    <phoneticPr fontId="1" type="noConversion"/>
  </si>
  <si>
    <t>radius</t>
    <phoneticPr fontId="1" type="noConversion"/>
  </si>
  <si>
    <t>ACT_DOTA_CAST_ABILITY_2</t>
    <phoneticPr fontId="1" type="noConversion"/>
  </si>
  <si>
    <t>damage</t>
    <phoneticPr fontId="1" type="noConversion"/>
  </si>
  <si>
    <t>DAMAGE_TYPE_MAGICAL</t>
  </si>
  <si>
    <t>DAMAGE_TYPE_PHYSICAL</t>
  </si>
  <si>
    <t>DAMAGE_TYPE_ALL</t>
  </si>
  <si>
    <t>DAMAGE_TYPE_HP_REMOVAL</t>
  </si>
  <si>
    <t>DAMAGE_TYPE_NONE</t>
  </si>
  <si>
    <t>DAMAGE_TYPE_PURE</t>
  </si>
  <si>
    <t>SpellImmunityType</t>
  </si>
  <si>
    <t>SPELL_IMMUNITY_ENEMIES_NO</t>
  </si>
  <si>
    <t>SPELL_IMMUNITY_ENEMIES_YES</t>
    <phoneticPr fontId="1" type="noConversion"/>
  </si>
  <si>
    <t>ACT_DOTA_CAST_ABILITY_1</t>
    <phoneticPr fontId="1" type="noConversion"/>
  </si>
  <si>
    <t>DAMAGE_TYPE_PHYSICAL</t>
    <phoneticPr fontId="1" type="noConversion"/>
  </si>
  <si>
    <t>water_shield</t>
    <phoneticPr fontId="1" type="noConversion"/>
  </si>
  <si>
    <t>water_damage</t>
    <phoneticPr fontId="1" type="noConversion"/>
  </si>
  <si>
    <t>lightning_chain</t>
    <phoneticPr fontId="1" type="noConversion"/>
  </si>
  <si>
    <t>hex</t>
    <phoneticPr fontId="1" type="noConversion"/>
  </si>
  <si>
    <t>force_rush</t>
    <phoneticPr fontId="1" type="noConversion"/>
  </si>
  <si>
    <t>courage</t>
    <phoneticPr fontId="1" type="noConversion"/>
  </si>
  <si>
    <t>life_absorb</t>
    <phoneticPr fontId="1" type="noConversion"/>
  </si>
  <si>
    <t>wolf_critical</t>
    <phoneticPr fontId="1" type="noConversion"/>
  </si>
  <si>
    <t>wolf_wound</t>
    <phoneticPr fontId="1" type="noConversion"/>
  </si>
  <si>
    <t>wolf_invisible</t>
    <phoneticPr fontId="1" type="noConversion"/>
  </si>
  <si>
    <t>jugg_attack</t>
    <phoneticPr fontId="1" type="noConversion"/>
  </si>
  <si>
    <t>bomb_suicide</t>
    <phoneticPr fontId="1" type="noConversion"/>
  </si>
  <si>
    <t>soul_tremble</t>
    <phoneticPr fontId="1" type="noConversion"/>
  </si>
  <si>
    <t>soul_hurt</t>
    <phoneticPr fontId="1" type="noConversion"/>
  </si>
  <si>
    <t>fur_dance</t>
    <phoneticPr fontId="1" type="noConversion"/>
  </si>
  <si>
    <t>siling_attack</t>
    <phoneticPr fontId="1" type="noConversion"/>
  </si>
  <si>
    <t>siling_speed</t>
    <phoneticPr fontId="1" type="noConversion"/>
  </si>
  <si>
    <t>siling_death</t>
    <phoneticPr fontId="1" type="noConversion"/>
  </si>
  <si>
    <t>xixue</t>
    <phoneticPr fontId="1" type="noConversion"/>
  </si>
  <si>
    <t>tb_critical</t>
    <phoneticPr fontId="1" type="noConversion"/>
  </si>
  <si>
    <t>chouxue</t>
    <phoneticPr fontId="1" type="noConversion"/>
  </si>
  <si>
    <t>xiaolan</t>
    <phoneticPr fontId="1" type="noConversion"/>
  </si>
  <si>
    <t>jianjia</t>
    <phoneticPr fontId="1" type="noConversion"/>
  </si>
  <si>
    <t>chenmo</t>
    <phoneticPr fontId="1" type="noConversion"/>
  </si>
  <si>
    <t>poison_sting</t>
    <phoneticPr fontId="1" type="noConversion"/>
  </si>
  <si>
    <t>fuhuosishi</t>
    <phoneticPr fontId="1" type="noConversion"/>
  </si>
  <si>
    <t>mana_burn</t>
    <phoneticPr fontId="1" type="noConversion"/>
  </si>
  <si>
    <t>roshan_stun</t>
    <phoneticPr fontId="1" type="noConversion"/>
  </si>
  <si>
    <t>slardar_stun</t>
    <phoneticPr fontId="1" type="noConversion"/>
  </si>
  <si>
    <t>slardar_crush</t>
    <phoneticPr fontId="1" type="noConversion"/>
  </si>
  <si>
    <t>slardar_run</t>
    <phoneticPr fontId="1" type="noConversion"/>
  </si>
  <si>
    <t>roshan_strike</t>
    <phoneticPr fontId="1" type="noConversion"/>
  </si>
  <si>
    <t>roshan_shock</t>
    <phoneticPr fontId="1" type="noConversion"/>
  </si>
  <si>
    <t>mubei</t>
    <phoneticPr fontId="1" type="noConversion"/>
  </si>
  <si>
    <t>shiwangchouxue</t>
    <phoneticPr fontId="1" type="noConversion"/>
  </si>
  <si>
    <t>fulan</t>
    <phoneticPr fontId="1" type="noConversion"/>
  </si>
  <si>
    <t>heartstop</t>
    <phoneticPr fontId="1" type="noConversion"/>
  </si>
  <si>
    <t>boss_clear</t>
    <phoneticPr fontId="1" type="noConversion"/>
  </si>
  <si>
    <t>boss_blink</t>
    <phoneticPr fontId="1" type="noConversion"/>
  </si>
  <si>
    <t>soulsteal</t>
    <phoneticPr fontId="1" type="noConversion"/>
  </si>
  <si>
    <t>death_change</t>
    <phoneticPr fontId="1" type="noConversion"/>
  </si>
  <si>
    <t>death</t>
    <phoneticPr fontId="1" type="noConversion"/>
  </si>
  <si>
    <t>angry_water</t>
    <phoneticPr fontId="1" type="noConversion"/>
  </si>
  <si>
    <t>water_ravage</t>
    <phoneticPr fontId="1" type="noConversion"/>
  </si>
  <si>
    <t>water_blade</t>
    <phoneticPr fontId="1" type="noConversion"/>
  </si>
  <si>
    <t>lightning_attack</t>
    <phoneticPr fontId="1" type="noConversion"/>
  </si>
  <si>
    <t>lightning_crash</t>
    <phoneticPr fontId="1" type="noConversion"/>
  </si>
  <si>
    <t>thunder_wrath</t>
    <phoneticPr fontId="1" type="noConversion"/>
  </si>
  <si>
    <t>god_body</t>
    <phoneticPr fontId="1" type="noConversion"/>
  </si>
  <si>
    <t>electrostatic_field</t>
    <phoneticPr fontId="1" type="noConversion"/>
  </si>
  <si>
    <t>thunder_cloud</t>
    <phoneticPr fontId="1" type="noConversion"/>
  </si>
  <si>
    <t>golem_skin</t>
    <phoneticPr fontId="1" type="noConversion"/>
  </si>
  <si>
    <t>golem_spilt</t>
    <phoneticPr fontId="1" type="noConversion"/>
  </si>
  <si>
    <t>scream_of_pain</t>
    <phoneticPr fontId="1" type="noConversion"/>
  </si>
  <si>
    <t>queen_split</t>
    <phoneticPr fontId="1" type="noConversion"/>
  </si>
  <si>
    <t>shadow_strike</t>
    <phoneticPr fontId="1" type="noConversion"/>
  </si>
  <si>
    <t>great_cleave</t>
    <phoneticPr fontId="1" type="noConversion"/>
  </si>
  <si>
    <t>shock_wave</t>
    <phoneticPr fontId="1" type="noConversion"/>
  </si>
  <si>
    <t>earthshake</t>
    <phoneticPr fontId="1" type="noConversion"/>
  </si>
  <si>
    <t>enchant_totem</t>
    <phoneticPr fontId="1" type="noConversion"/>
  </si>
  <si>
    <t>mana_purge</t>
    <phoneticPr fontId="1" type="noConversion"/>
  </si>
  <si>
    <t>death_arrow</t>
    <phoneticPr fontId="1" type="noConversion"/>
  </si>
  <si>
    <t>storm_bolt</t>
    <phoneticPr fontId="1" type="noConversion"/>
  </si>
  <si>
    <t>gush</t>
    <phoneticPr fontId="1" type="noConversion"/>
  </si>
  <si>
    <t>anchor_smash</t>
    <phoneticPr fontId="1" type="noConversion"/>
  </si>
  <si>
    <t>warcry</t>
    <phoneticPr fontId="1" type="noConversion"/>
  </si>
  <si>
    <t>gods_strength</t>
    <phoneticPr fontId="1" type="noConversion"/>
  </si>
  <si>
    <t>hunt</t>
    <phoneticPr fontId="1" type="noConversion"/>
  </si>
  <si>
    <t>howl</t>
    <phoneticPr fontId="1" type="noConversion"/>
  </si>
  <si>
    <t>shadow_word</t>
    <phoneticPr fontId="1" type="noConversion"/>
  </si>
  <si>
    <t>fatal_bonds</t>
    <phoneticPr fontId="1" type="noConversion"/>
  </si>
  <si>
    <t>upheaval</t>
    <phoneticPr fontId="1" type="noConversion"/>
  </si>
  <si>
    <t>rain_of_chaos</t>
    <phoneticPr fontId="1" type="noConversion"/>
  </si>
  <si>
    <t>slience</t>
    <phoneticPr fontId="1" type="noConversion"/>
  </si>
  <si>
    <t>morphling_morph_replicate</t>
    <phoneticPr fontId="1" type="noConversion"/>
  </si>
  <si>
    <t>wisp_tether</t>
    <phoneticPr fontId="1" type="noConversion"/>
  </si>
  <si>
    <t>shadow_shaman_voodoo</t>
    <phoneticPr fontId="1" type="noConversion"/>
  </si>
  <si>
    <t>legion_commander_press_the_attack</t>
    <phoneticPr fontId="1" type="noConversion"/>
  </si>
  <si>
    <t>legion_commander_moment_of_courage</t>
    <phoneticPr fontId="1" type="noConversion"/>
  </si>
  <si>
    <t>death_prophet_spirit_siphon</t>
    <phoneticPr fontId="1" type="noConversion"/>
  </si>
  <si>
    <t>lycan_summon_wolves_critical_strike</t>
    <phoneticPr fontId="1" type="noConversion"/>
  </si>
  <si>
    <t>ursa_fury_swipes</t>
    <phoneticPr fontId="1" type="noConversion"/>
  </si>
  <si>
    <t>lycan_summon_wolves_invisibility</t>
    <phoneticPr fontId="1" type="noConversion"/>
  </si>
  <si>
    <t>juggernaut_omni_slash</t>
    <phoneticPr fontId="1" type="noConversion"/>
  </si>
  <si>
    <t>techies_suicide</t>
    <phoneticPr fontId="1" type="noConversion"/>
  </si>
  <si>
    <t>bane_enfeeble</t>
    <phoneticPr fontId="1" type="noConversion"/>
  </si>
  <si>
    <t>bane_brain_sap</t>
    <phoneticPr fontId="1" type="noConversion"/>
  </si>
  <si>
    <t>furion_wrath_of_nature</t>
    <phoneticPr fontId="1" type="noConversion"/>
  </si>
  <si>
    <t>necronomicon_warrior_mana_burn</t>
    <phoneticPr fontId="1" type="noConversion"/>
  </si>
  <si>
    <t>necronomicon_warrior_sight</t>
    <phoneticPr fontId="1" type="noConversion"/>
  </si>
  <si>
    <t>necronomicon_warrior_last_will</t>
    <phoneticPr fontId="1" type="noConversion"/>
  </si>
  <si>
    <t>terrorblade_metamorphosis_alt1</t>
    <phoneticPr fontId="1" type="noConversion"/>
  </si>
  <si>
    <t>phantom_assassin_coup_de_grace</t>
    <phoneticPr fontId="1" type="noConversion"/>
  </si>
  <si>
    <t>terrorblade_sunder_alt1</t>
    <phoneticPr fontId="1" type="noConversion"/>
  </si>
  <si>
    <t>antimage_mana_break</t>
    <phoneticPr fontId="1" type="noConversion"/>
  </si>
  <si>
    <t>tidehunter_gush</t>
    <phoneticPr fontId="1" type="noConversion"/>
  </si>
  <si>
    <t>naga_siren_song_of_the_siren</t>
    <phoneticPr fontId="1" type="noConversion"/>
  </si>
  <si>
    <t>venomancer_poison_sting</t>
    <phoneticPr fontId="1" type="noConversion"/>
  </si>
  <si>
    <t>dark_troll_warlord_raise_dead</t>
    <phoneticPr fontId="1" type="noConversion"/>
  </si>
  <si>
    <t>nyx_assassin_mana_burn</t>
    <phoneticPr fontId="1" type="noConversion"/>
  </si>
  <si>
    <t>roshan_bash</t>
    <phoneticPr fontId="1" type="noConversion"/>
  </si>
  <si>
    <t>slardar_bash</t>
    <phoneticPr fontId="1" type="noConversion"/>
  </si>
  <si>
    <t>slardar_slithereen_crush</t>
    <phoneticPr fontId="1" type="noConversion"/>
  </si>
  <si>
    <t>slardar_sprint</t>
    <phoneticPr fontId="1" type="noConversion"/>
  </si>
  <si>
    <t>roshan_slam</t>
    <phoneticPr fontId="1" type="noConversion"/>
  </si>
  <si>
    <t>roshan_halloween_angry</t>
    <phoneticPr fontId="1" type="noConversion"/>
  </si>
  <si>
    <t>undying_tombstone_alt</t>
    <phoneticPr fontId="1" type="noConversion"/>
  </si>
  <si>
    <t>undying_decay</t>
    <phoneticPr fontId="1" type="noConversion"/>
  </si>
  <si>
    <t>greevil_rot</t>
    <phoneticPr fontId="1" type="noConversion"/>
  </si>
  <si>
    <t>necrolyte_heartstopper_aura</t>
    <phoneticPr fontId="1" type="noConversion"/>
  </si>
  <si>
    <t>chen_test_of_faith_teleport</t>
    <phoneticPr fontId="1" type="noConversion"/>
  </si>
  <si>
    <t>abyssal_underlord_dark_rift</t>
    <phoneticPr fontId="1" type="noConversion"/>
  </si>
  <si>
    <t>necrolyte_death_pulse</t>
    <phoneticPr fontId="1" type="noConversion"/>
  </si>
  <si>
    <t>necrolyte_sadist</t>
    <phoneticPr fontId="1" type="noConversion"/>
  </si>
  <si>
    <t>necrolyte_reapers_scythe</t>
    <phoneticPr fontId="1" type="noConversion"/>
  </si>
  <si>
    <t>kunkka_torrent</t>
    <phoneticPr fontId="1" type="noConversion"/>
  </si>
  <si>
    <t>tidehunter_ravage</t>
    <phoneticPr fontId="1" type="noConversion"/>
  </si>
  <si>
    <t>kunkka_divine_anchor_tidebringer</t>
    <phoneticPr fontId="1" type="noConversion"/>
  </si>
  <si>
    <t>zuus_arc_lightning</t>
    <phoneticPr fontId="1" type="noConversion"/>
  </si>
  <si>
    <t>zuus_lightning_bolt</t>
    <phoneticPr fontId="1" type="noConversion"/>
  </si>
  <si>
    <t>zuus_thundergods_wrath_alt1</t>
    <phoneticPr fontId="1" type="noConversion"/>
  </si>
  <si>
    <t>zuus_static_field_alt1</t>
    <phoneticPr fontId="1" type="noConversion"/>
  </si>
  <si>
    <t>zuus_static_field</t>
    <phoneticPr fontId="1" type="noConversion"/>
  </si>
  <si>
    <t>zuus_lightning_bolt_immortal</t>
    <phoneticPr fontId="1" type="noConversion"/>
  </si>
  <si>
    <t>modifier_magicimmune</t>
    <phoneticPr fontId="1" type="noConversion"/>
  </si>
  <si>
    <t>mud_golem_rock_destroy</t>
    <phoneticPr fontId="1" type="noConversion"/>
  </si>
  <si>
    <t>queenofpain_scream_of_pain</t>
    <phoneticPr fontId="1" type="noConversion"/>
  </si>
  <si>
    <t>queenofpain_sanguine_blink</t>
    <phoneticPr fontId="1" type="noConversion"/>
  </si>
  <si>
    <t>queenofpain_sanguine_shadow_strike</t>
    <phoneticPr fontId="1" type="noConversion"/>
  </si>
  <si>
    <t>sven_great_cleave</t>
    <phoneticPr fontId="1" type="noConversion"/>
  </si>
  <si>
    <t>earthshaker_echo_slam</t>
    <phoneticPr fontId="1" type="noConversion"/>
  </si>
  <si>
    <t>earthshaker_aftershock_egset</t>
    <phoneticPr fontId="1" type="noConversion"/>
  </si>
  <si>
    <t>earthshaker_enchant_totem</t>
    <phoneticPr fontId="1" type="noConversion"/>
  </si>
  <si>
    <t>necronomicon_archer_mana_burn</t>
    <phoneticPr fontId="1" type="noConversion"/>
  </si>
  <si>
    <t>sven_storm_bolt</t>
    <phoneticPr fontId="1" type="noConversion"/>
  </si>
  <si>
    <t>tidehunter_anchor_smash</t>
    <phoneticPr fontId="1" type="noConversion"/>
  </si>
  <si>
    <t>sven_warcry</t>
    <phoneticPr fontId="1" type="noConversion"/>
  </si>
  <si>
    <t>sven_gods_strength</t>
    <phoneticPr fontId="1" type="noConversion"/>
  </si>
  <si>
    <t>lycan_shapeshift</t>
    <phoneticPr fontId="1" type="noConversion"/>
  </si>
  <si>
    <t>lycan_howl</t>
    <phoneticPr fontId="1" type="noConversion"/>
  </si>
  <si>
    <t>warlock_shadow_word</t>
    <phoneticPr fontId="1" type="noConversion"/>
  </si>
  <si>
    <t>warlock_fatal_bonds</t>
    <phoneticPr fontId="1" type="noConversion"/>
  </si>
  <si>
    <t>warlock_upheaval</t>
    <phoneticPr fontId="1" type="noConversion"/>
  </si>
  <si>
    <t>invoker_chaos_meteor</t>
    <phoneticPr fontId="1" type="noConversion"/>
  </si>
  <si>
    <t>death_prophet_silence</t>
    <phoneticPr fontId="1" type="noConversion"/>
  </si>
  <si>
    <t>DOTA_ABILITY_TYPE_ULTIMATE</t>
    <phoneticPr fontId="1" type="noConversion"/>
  </si>
  <si>
    <t>ACT_DOTA_CAST_ABILITY_4</t>
    <phoneticPr fontId="1" type="noConversion"/>
  </si>
  <si>
    <t>ACT_DOTA_CAST_ABILITY_3</t>
    <phoneticPr fontId="1" type="noConversion"/>
  </si>
  <si>
    <t>ACT_DOTA_UNDYING_DECAY</t>
    <phoneticPr fontId="1" type="noConversion"/>
  </si>
  <si>
    <t>0.69 0.69 0.69 0.69</t>
    <phoneticPr fontId="1" type="noConversion"/>
  </si>
  <si>
    <t>0.5 0.5 0.5 0.5</t>
    <phoneticPr fontId="1" type="noConversion"/>
  </si>
  <si>
    <t>16 15 14 13 12</t>
    <phoneticPr fontId="1" type="noConversion"/>
  </si>
  <si>
    <t>14 13 12 11 10</t>
    <phoneticPr fontId="1" type="noConversion"/>
  </si>
  <si>
    <t>10 9 8 7 6</t>
    <phoneticPr fontId="1" type="noConversion"/>
  </si>
  <si>
    <t>2.0 1.8 1.6 1.4 1.2</t>
    <phoneticPr fontId="1" type="noConversion"/>
  </si>
  <si>
    <t>DOTA_ABILITY_BEHAVIOR_NO_TARGET | DOTA_ABILITY_BEHAVIOR_CHANNELLED</t>
    <phoneticPr fontId="1" type="noConversion"/>
  </si>
  <si>
    <t>DOTA_UNIT_TARGET_TEAM_BOTH</t>
    <phoneticPr fontId="1" type="noConversion"/>
  </si>
  <si>
    <t>DOTA_UNIT_TARGET_TEAM_FRIENDLY</t>
    <phoneticPr fontId="1" type="noConversion"/>
  </si>
  <si>
    <t>DOTA_UNIT_TARGET_FLAG_MAGIC_IMMUNE_ENEMIES</t>
    <phoneticPr fontId="1" type="noConversion"/>
  </si>
  <si>
    <t>DOTA_UNIT_TARGET_FLAG_NOT_MAGIC_IMMUNE_ALLIES</t>
    <phoneticPr fontId="1" type="noConversion"/>
  </si>
  <si>
    <t>DAMAGE_TYPE_MAGICAL</t>
    <phoneticPr fontId="1" type="noConversion"/>
  </si>
  <si>
    <t>SPELL_IMMUNITY_ENEMIES_NO</t>
    <phoneticPr fontId="1" type="noConversion"/>
  </si>
  <si>
    <t>SPELL_IMMUNITY_ALLIES_NO</t>
    <phoneticPr fontId="1" type="noConversion"/>
  </si>
  <si>
    <t>attackspeed</t>
    <phoneticPr fontId="1" type="noConversion"/>
  </si>
  <si>
    <t>150 300 450 600 750</t>
    <phoneticPr fontId="1" type="noConversion"/>
  </si>
  <si>
    <t>movespeed</t>
    <phoneticPr fontId="1" type="noConversion"/>
  </si>
  <si>
    <t>heal</t>
    <phoneticPr fontId="1" type="noConversion"/>
  </si>
  <si>
    <t>1000 1500 2000 2500 5000</t>
    <phoneticPr fontId="1" type="noConversion"/>
  </si>
  <si>
    <t>1000 2000 3000 4000 8000</t>
    <phoneticPr fontId="1" type="noConversion"/>
  </si>
  <si>
    <t>500 1000 1500 2000 4000</t>
    <phoneticPr fontId="1" type="noConversion"/>
  </si>
  <si>
    <t>chance</t>
    <phoneticPr fontId="1" type="noConversion"/>
  </si>
  <si>
    <t>20 30 40 50 100</t>
    <phoneticPr fontId="1" type="noConversion"/>
  </si>
  <si>
    <t>bonus_reset_time</t>
    <phoneticPr fontId="1" type="noConversion"/>
  </si>
  <si>
    <t>bonus_attack_speed</t>
    <phoneticPr fontId="1" type="noConversion"/>
  </si>
  <si>
    <t>100 200 300 400 500</t>
    <phoneticPr fontId="1" type="noConversion"/>
  </si>
  <si>
    <t>6000 8000 10000 12000 24000</t>
    <phoneticPr fontId="1" type="noConversion"/>
  </si>
  <si>
    <t>reduce</t>
    <phoneticPr fontId="1" type="noConversion"/>
  </si>
  <si>
    <t>rate</t>
    <phoneticPr fontId="1" type="noConversion"/>
  </si>
  <si>
    <t>0.1 0.15 0.2 0.25 0.5</t>
    <phoneticPr fontId="1" type="noConversion"/>
  </si>
  <si>
    <t>regen</t>
    <phoneticPr fontId="1" type="noConversion"/>
  </si>
  <si>
    <t>20 40 60 80 100</t>
    <phoneticPr fontId="1" type="noConversion"/>
  </si>
  <si>
    <t>percent</t>
    <phoneticPr fontId="1" type="noConversion"/>
  </si>
  <si>
    <t>2 3 4 5 6</t>
    <phoneticPr fontId="1" type="noConversion"/>
  </si>
  <si>
    <t>10 20 30 40 50</t>
    <phoneticPr fontId="1" type="noConversion"/>
  </si>
  <si>
    <t>15000 30000 45000 60000 75000</t>
    <phoneticPr fontId="1" type="noConversion"/>
  </si>
  <si>
    <t>lifesteal</t>
    <phoneticPr fontId="1" type="noConversion"/>
  </si>
  <si>
    <t>200 300 400 500 1000</t>
    <phoneticPr fontId="1" type="noConversion"/>
  </si>
  <si>
    <t>20 25 30 35 50</t>
    <phoneticPr fontId="1" type="noConversion"/>
  </si>
  <si>
    <t>75 80 85 90 95</t>
    <phoneticPr fontId="1" type="noConversion"/>
  </si>
  <si>
    <t>mana</t>
    <phoneticPr fontId="1" type="noConversion"/>
  </si>
  <si>
    <t>200 400 600 800 1600</t>
    <phoneticPr fontId="1" type="noConversion"/>
  </si>
  <si>
    <t>armor</t>
    <phoneticPr fontId="1" type="noConversion"/>
  </si>
  <si>
    <t>speed</t>
    <phoneticPr fontId="1" type="noConversion"/>
  </si>
  <si>
    <t>20000 40000 60000 80000 100000</t>
    <phoneticPr fontId="1" type="noConversion"/>
  </si>
  <si>
    <t>600 600 600 600 600</t>
    <phoneticPr fontId="1" type="noConversion"/>
  </si>
  <si>
    <t>20000 30000 40000 50000 100000</t>
    <phoneticPr fontId="1" type="noConversion"/>
  </si>
  <si>
    <t>18000 26000 34000 42000 84000</t>
    <phoneticPr fontId="1" type="noConversion"/>
  </si>
  <si>
    <t>30000 60000 90000 120000 240000</t>
    <phoneticPr fontId="1" type="noConversion"/>
  </si>
  <si>
    <t>40000 80000 120000 160000 320000</t>
    <phoneticPr fontId="1" type="noConversion"/>
  </si>
  <si>
    <t>100 200 300 400 800</t>
    <phoneticPr fontId="1" type="noConversion"/>
  </si>
  <si>
    <t>1 2 3 4 5</t>
    <phoneticPr fontId="1" type="noConversion"/>
  </si>
  <si>
    <t>11 14 17 20 25</t>
    <phoneticPr fontId="1" type="noConversion"/>
  </si>
  <si>
    <t>50000 100000 150000 200000 250000</t>
    <phoneticPr fontId="1" type="noConversion"/>
  </si>
  <si>
    <t>interval</t>
    <phoneticPr fontId="1" type="noConversion"/>
  </si>
  <si>
    <t>cooldown</t>
    <phoneticPr fontId="1" type="noConversion"/>
  </si>
  <si>
    <t>4000 8000 12000 16000 32000</t>
    <phoneticPr fontId="1" type="noConversion"/>
  </si>
  <si>
    <t>6000 12000 18000 24000 48000</t>
    <phoneticPr fontId="1" type="noConversion"/>
  </si>
  <si>
    <t>20000 40000 60000 80000 160000</t>
    <phoneticPr fontId="1" type="noConversion"/>
  </si>
  <si>
    <t>100000 200000 300000 400000 800000</t>
    <phoneticPr fontId="1" type="noConversion"/>
  </si>
  <si>
    <t>max_damage</t>
    <phoneticPr fontId="1" type="noConversion"/>
  </si>
  <si>
    <t>12 10 8 6 4</t>
    <phoneticPr fontId="1" type="noConversion"/>
  </si>
  <si>
    <t>25 20 15 10 5</t>
    <phoneticPr fontId="1" type="noConversion"/>
  </si>
  <si>
    <t>8000 16000 24000 32000 64000</t>
    <phoneticPr fontId="1" type="noConversion"/>
  </si>
  <si>
    <t>mdef</t>
    <phoneticPr fontId="1" type="noConversion"/>
  </si>
  <si>
    <t>20 30 40 50 60</t>
    <phoneticPr fontId="1" type="noConversion"/>
  </si>
  <si>
    <t>projectile_speed</t>
    <phoneticPr fontId="1" type="noConversion"/>
  </si>
  <si>
    <t>duration</t>
    <phoneticPr fontId="1" type="noConversion"/>
  </si>
  <si>
    <t>great_cleave_radius</t>
    <phoneticPr fontId="1" type="noConversion"/>
  </si>
  <si>
    <t>10000 20000 30000 40000 60000</t>
    <phoneticPr fontId="1" type="noConversion"/>
  </si>
  <si>
    <t>totem_damage_percentage</t>
    <phoneticPr fontId="1" type="noConversion"/>
  </si>
  <si>
    <t>3000 4000 5000 6000 7000</t>
    <phoneticPr fontId="1" type="noConversion"/>
  </si>
  <si>
    <t>bolt_speed</t>
    <phoneticPr fontId="1" type="noConversion"/>
  </si>
  <si>
    <t>4000 4000 4000 4000</t>
    <phoneticPr fontId="1" type="noConversion"/>
  </si>
  <si>
    <t>damage_reduction</t>
    <phoneticPr fontId="1" type="noConversion"/>
  </si>
  <si>
    <t>warcry_armor</t>
    <phoneticPr fontId="1" type="noConversion"/>
  </si>
  <si>
    <t>30 60 90 120 150</t>
    <phoneticPr fontId="1" type="noConversion"/>
  </si>
  <si>
    <t>gods_strength_damage</t>
    <phoneticPr fontId="1" type="noConversion"/>
  </si>
  <si>
    <t>1500 2000 2500 3000 3500</t>
    <phoneticPr fontId="1" type="noConversion"/>
  </si>
  <si>
    <t>critical</t>
    <phoneticPr fontId="1" type="noConversion"/>
  </si>
  <si>
    <t>300 350 400 450 900</t>
    <phoneticPr fontId="1" type="noConversion"/>
  </si>
  <si>
    <t>1 1.5 2 2.5 3</t>
    <phoneticPr fontId="1" type="noConversion"/>
  </si>
  <si>
    <t>250 300 350 400 800</t>
    <phoneticPr fontId="1" type="noConversion"/>
  </si>
  <si>
    <t>bonus_reset_time_roshan</t>
    <phoneticPr fontId="1" type="noConversion"/>
  </si>
  <si>
    <t>evasion</t>
    <phoneticPr fontId="1" type="noConversion"/>
  </si>
  <si>
    <t>30 40 50 60 70</t>
    <phoneticPr fontId="1" type="noConversion"/>
  </si>
  <si>
    <t>5 6 7 8 9</t>
    <phoneticPr fontId="1" type="noConversion"/>
  </si>
  <si>
    <t>5 10 15 20 25</t>
    <phoneticPr fontId="1" type="noConversion"/>
  </si>
  <si>
    <t>700 800 900 1000 1200</t>
    <phoneticPr fontId="1" type="noConversion"/>
  </si>
  <si>
    <t>6 6 6 6 6</t>
    <phoneticPr fontId="1" type="noConversion"/>
  </si>
  <si>
    <t>60 60 60 60 60</t>
    <phoneticPr fontId="1" type="noConversion"/>
  </si>
  <si>
    <t>10 12 14 16 20</t>
    <phoneticPr fontId="1" type="noConversion"/>
  </si>
  <si>
    <t>400 400 400 400 400</t>
    <phoneticPr fontId="1" type="noConversion"/>
  </si>
  <si>
    <t>450 450 450 450 450</t>
    <phoneticPr fontId="1" type="noConversion"/>
  </si>
  <si>
    <t>bonus_armor</t>
    <phoneticPr fontId="1" type="noConversion"/>
  </si>
  <si>
    <t>att_rate</t>
    <phoneticPr fontId="1" type="noConversion"/>
  </si>
  <si>
    <t>10 13 16 19 25</t>
    <phoneticPr fontId="1" type="noConversion"/>
  </si>
  <si>
    <t>6 8 10 12 16</t>
    <phoneticPr fontId="1" type="noConversion"/>
  </si>
  <si>
    <t>5 6 7 8 10</t>
    <phoneticPr fontId="1" type="noConversion"/>
  </si>
  <si>
    <t>40000 80000 120000 160000 200000</t>
    <phoneticPr fontId="1" type="noConversion"/>
  </si>
  <si>
    <t>great_cleave_damage</t>
    <phoneticPr fontId="1" type="noConversion"/>
  </si>
  <si>
    <t>20 35 50 65 80</t>
    <phoneticPr fontId="1" type="noConversion"/>
  </si>
  <si>
    <t>delay</t>
    <phoneticPr fontId="1" type="noConversion"/>
  </si>
  <si>
    <t>bolt_stun_duration</t>
    <phoneticPr fontId="1" type="noConversion"/>
  </si>
  <si>
    <t>movement_speed</t>
    <phoneticPr fontId="1" type="noConversion"/>
  </si>
  <si>
    <t>reduction_duration</t>
    <phoneticPr fontId="1" type="noConversion"/>
  </si>
  <si>
    <t>warcry_movespeed</t>
    <phoneticPr fontId="1" type="noConversion"/>
  </si>
  <si>
    <t>attack_time</t>
    <phoneticPr fontId="1" type="noConversion"/>
  </si>
  <si>
    <t>tick_interval</t>
    <phoneticPr fontId="1" type="noConversion"/>
  </si>
  <si>
    <t>2.0 2.5 3.0 3.5 4.0</t>
    <phoneticPr fontId="1" type="noConversion"/>
  </si>
  <si>
    <t>damage_per_stack</t>
    <phoneticPr fontId="1" type="noConversion"/>
  </si>
  <si>
    <t>200 400 600 800 1000</t>
    <phoneticPr fontId="1" type="noConversion"/>
  </si>
  <si>
    <t>200 300 400 500 600</t>
    <phoneticPr fontId="1" type="noConversion"/>
  </si>
  <si>
    <t>4 5 6 7 8</t>
    <phoneticPr fontId="1" type="noConversion"/>
  </si>
  <si>
    <t>1.6 1.7 1.8 1.9 2.0</t>
    <phoneticPr fontId="1" type="noConversion"/>
  </si>
  <si>
    <t>1.2 1.4 1.6 1.8 2.0</t>
    <phoneticPr fontId="1" type="noConversion"/>
  </si>
  <si>
    <t>20 18 16 14 10</t>
    <phoneticPr fontId="1" type="noConversion"/>
  </si>
  <si>
    <t>800 800 800 800</t>
    <phoneticPr fontId="1" type="noConversion"/>
  </si>
  <si>
    <t>bonus_move_speed</t>
    <phoneticPr fontId="1" type="noConversion"/>
  </si>
  <si>
    <t>jump_count</t>
    <phoneticPr fontId="1" type="noConversion"/>
  </si>
  <si>
    <t>3 4 5 6 8</t>
    <phoneticPr fontId="1" type="noConversion"/>
  </si>
  <si>
    <t>def_rate</t>
    <phoneticPr fontId="1" type="noConversion"/>
  </si>
  <si>
    <t>5 8 11 14 20</t>
    <phoneticPr fontId="1" type="noConversion"/>
  </si>
  <si>
    <t>shock_duration</t>
    <phoneticPr fontId="1" type="noConversion"/>
  </si>
  <si>
    <t>bolt_aoe</t>
    <phoneticPr fontId="1" type="noConversion"/>
  </si>
  <si>
    <t>armor_bonus</t>
    <phoneticPr fontId="1" type="noConversion"/>
  </si>
  <si>
    <t>interval_min</t>
    <phoneticPr fontId="1" type="noConversion"/>
  </si>
  <si>
    <t>max_slow</t>
    <phoneticPr fontId="1" type="noConversion"/>
  </si>
  <si>
    <t>800 1600 2400 3200 4000</t>
    <phoneticPr fontId="1" type="noConversion"/>
  </si>
  <si>
    <t>8 7 6 5 4</t>
    <phoneticPr fontId="1" type="noConversion"/>
  </si>
  <si>
    <t>stats</t>
    <phoneticPr fontId="1" type="noConversion"/>
  </si>
  <si>
    <t>60 50 40 30 20</t>
    <phoneticPr fontId="1" type="noConversion"/>
  </si>
  <si>
    <t>3 4 5 6 7</t>
    <phoneticPr fontId="1" type="noConversion"/>
  </si>
  <si>
    <t>jump_delay</t>
    <phoneticPr fontId="1" type="noConversion"/>
  </si>
  <si>
    <t>0.25 0.25 0.25 0.25 0.25</t>
    <phoneticPr fontId="1" type="noConversion"/>
  </si>
  <si>
    <t>miss</t>
    <phoneticPr fontId="1" type="noConversion"/>
  </si>
  <si>
    <t>50 60 70 80 90</t>
    <phoneticPr fontId="1" type="noConversion"/>
  </si>
  <si>
    <t>distance</t>
    <phoneticPr fontId="1" type="noConversion"/>
  </si>
  <si>
    <t>vision_radius</t>
    <phoneticPr fontId="1" type="noConversion"/>
  </si>
  <si>
    <t>2000 4000 6000 8000 10000</t>
    <phoneticPr fontId="1" type="noConversion"/>
  </si>
  <si>
    <t>warcry_attackspeed</t>
    <phoneticPr fontId="1" type="noConversion"/>
  </si>
  <si>
    <t>40 50 60 70 80</t>
    <phoneticPr fontId="1" type="noConversion"/>
  </si>
  <si>
    <t>interval_max</t>
    <phoneticPr fontId="1" type="noConversion"/>
  </si>
  <si>
    <t>armor_reduce</t>
    <phoneticPr fontId="1" type="noConversion"/>
  </si>
  <si>
    <t>50 100 150 200 250</t>
    <phoneticPr fontId="1" type="noConversion"/>
  </si>
  <si>
    <t>10 10 10 10 10</t>
    <phoneticPr fontId="1" type="noConversion"/>
  </si>
  <si>
    <t>health</t>
    <phoneticPr fontId="1" type="noConversion"/>
  </si>
  <si>
    <t>0 200000 400000 600000 800000</t>
    <phoneticPr fontId="1" type="noConversion"/>
  </si>
  <si>
    <t>cooldown_increase</t>
    <phoneticPr fontId="1" type="noConversion"/>
  </si>
  <si>
    <t>shock_wave_damage</t>
    <phoneticPr fontId="1" type="noConversion"/>
  </si>
  <si>
    <t>10000 20000 30000 40000 50000</t>
    <phoneticPr fontId="1" type="noConversion"/>
  </si>
  <si>
    <t>alert_range</t>
    <phoneticPr fontId="1" type="noConversion"/>
  </si>
  <si>
    <t>AOERadius</t>
  </si>
  <si>
    <t>%bolt_aoe</t>
  </si>
  <si>
    <t>%radius</t>
  </si>
  <si>
    <t>ability_lua</t>
    <phoneticPr fontId="1" type="noConversion"/>
  </si>
  <si>
    <t>持续时间</t>
    <phoneticPr fontId="1" type="noConversion"/>
  </si>
  <si>
    <t>伤害</t>
    <phoneticPr fontId="1" type="noConversion"/>
  </si>
  <si>
    <t>2 2.5 3 3.5 4</t>
    <phoneticPr fontId="1" type="noConversion"/>
  </si>
  <si>
    <t>beast_beat</t>
    <phoneticPr fontId="1" type="noConversion"/>
  </si>
  <si>
    <t>polar_furbolg_ursa_warrior_thunder_clap</t>
    <phoneticPr fontId="1" type="noConversion"/>
  </si>
  <si>
    <t>600 1200 1800 2400 3000</t>
    <phoneticPr fontId="1" type="noConversion"/>
  </si>
  <si>
    <t>4 6 8 10 12</t>
    <phoneticPr fontId="1" type="noConversion"/>
  </si>
  <si>
    <t>regen_reduce</t>
    <phoneticPr fontId="1" type="noConversion"/>
  </si>
  <si>
    <t>AbilityDuration</t>
    <phoneticPr fontId="1" type="noConversion"/>
  </si>
  <si>
    <t>14.0 14.0 14.0 14.0</t>
    <phoneticPr fontId="1" type="noConversion"/>
  </si>
  <si>
    <t>25.0 25.0 25.0</t>
    <phoneticPr fontId="1" type="noConversion"/>
  </si>
  <si>
    <t>3.0 4.0 5.0 6.0</t>
    <phoneticPr fontId="1" type="noConversion"/>
  </si>
  <si>
    <t>AbilityDamage</t>
    <phoneticPr fontId="1" type="noConversion"/>
  </si>
  <si>
    <t>0 0 0 0</t>
    <phoneticPr fontId="1" type="noConversion"/>
  </si>
  <si>
    <t>stun_duration</t>
  </si>
  <si>
    <t>水怒</t>
    <phoneticPr fontId="1" type="noConversion"/>
  </si>
  <si>
    <t>torrent_interval</t>
    <phoneticPr fontId="1" type="noConversion"/>
  </si>
  <si>
    <t>torrent_max_distance</t>
    <phoneticPr fontId="1" type="noConversion"/>
  </si>
  <si>
    <t>slow_duration</t>
    <phoneticPr fontId="1" type="noConversion"/>
  </si>
  <si>
    <t>cleave_starting_width</t>
    <phoneticPr fontId="1" type="noConversion"/>
  </si>
  <si>
    <t>cleave_ending_width</t>
    <phoneticPr fontId="1" type="noConversion"/>
  </si>
  <si>
    <t>cleave_distance</t>
    <phoneticPr fontId="1" type="noConversion"/>
  </si>
  <si>
    <t>60 80 100 120 140</t>
    <phoneticPr fontId="1" type="noConversion"/>
  </si>
  <si>
    <t>5000 10000 15000 20000 40000</t>
    <phoneticPr fontId="1" type="noConversion"/>
  </si>
  <si>
    <t>4 3.5 3 2.5 2</t>
    <phoneticPr fontId="1" type="noConversion"/>
  </si>
  <si>
    <t>2.5 3 3.5 4 4.5</t>
    <phoneticPr fontId="1" type="noConversion"/>
  </si>
  <si>
    <t>cleave_damage</t>
    <phoneticPr fontId="1" type="noConversion"/>
  </si>
  <si>
    <t>damage_bonus</t>
    <phoneticPr fontId="1" type="noConversion"/>
  </si>
  <si>
    <t xml:space="preserve">1 1.5 2 2.5 3 </t>
    <phoneticPr fontId="1" type="noConversion"/>
  </si>
  <si>
    <t>60 70 80 90 100</t>
    <phoneticPr fontId="1" type="noConversion"/>
  </si>
  <si>
    <t>damage_per_health</t>
    <phoneticPr fontId="1" type="noConversion"/>
  </si>
  <si>
    <t>1 1.2 1.4 1.6 1.8</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</si>
</sst>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等线"/>
      <family val="2"/>
      <scheme val="minor"/>
    </font>
    <font>
      <sz val="9"/>
      <name val="等线"/>
      <family val="3"/>
      <charset val="134"/>
      <scheme val="minor"/>
    </font>
  </fonts>
  <fills count="4">
    <fill>
      <patternFill patternType="none"/>
    </fill>
    <fill>
      <patternFill patternType="gray125"/>
    </fill>
    <fill>
      <patternFill patternType="solid">
        <fgColor theme="4" tint="0.79998168889431442"/>
        <bgColor indexed="64"/>
      </patternFill>
    </fill>
    <fill>
      <patternFill patternType="solid">
        <fgColor theme="9"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bottom style="thin">
        <color theme="0"/>
      </bottom>
      <diagonal/>
    </border>
  </borders>
  <cellStyleXfs count="1">
    <xf numFmtId="0" fontId="0" fillId="0" borderId="0"/>
  </cellStyleXfs>
  <cellXfs count="10">
    <xf numFmtId="0" fontId="0" fillId="0" borderId="0" xfId="0"/>
    <xf numFmtId="0" fontId="0" fillId="0" borderId="0" xfId="0" applyBorder="1" applyAlignment="1">
      <alignment horizontal="right"/>
    </xf>
    <xf numFmtId="0" fontId="0" fillId="2" borderId="0" xfId="0" applyFill="1" applyBorder="1" applyAlignment="1">
      <alignment horizontal="right"/>
    </xf>
    <xf numFmtId="0" fontId="0" fillId="0" borderId="0" xfId="0" applyBorder="1" applyAlignment="1">
      <alignment horizontal="center"/>
    </xf>
    <xf numFmtId="0" fontId="0" fillId="2" borderId="0" xfId="0" applyFill="1" applyBorder="1" applyAlignment="1">
      <alignment horizontal="center"/>
    </xf>
    <xf numFmtId="0" fontId="0" fillId="0" borderId="0" xfId="0" applyFill="1" applyBorder="1" applyAlignment="1">
      <alignment horizontal="center"/>
    </xf>
    <xf numFmtId="0" fontId="0" fillId="0" borderId="2" xfId="0" applyBorder="1" applyAlignment="1">
      <alignment horizontal="right"/>
    </xf>
    <xf numFmtId="0" fontId="0" fillId="3" borderId="1" xfId="0" applyFill="1" applyBorder="1" applyAlignment="1">
      <alignment horizontal="center"/>
    </xf>
    <xf numFmtId="0" fontId="0" fillId="0" borderId="1" xfId="0" applyBorder="1" applyAlignment="1">
      <alignment horizontal="center"/>
    </xf>
    <xf numFmtId="0" fontId="0" fillId="0" borderId="1" xfId="0" applyBorder="1"/>
  </cellXfs>
  <cellStyles count="1">
    <cellStyle name="常规" xfId="0" builtinId="0"/>
  </cellStyles>
  <dxfs count="134">
    <dxf>
      <fill>
        <patternFill>
          <bgColor rgb="FFFF0000"/>
        </patternFill>
      </fill>
    </dxf>
    <dxf>
      <fill>
        <patternFill>
          <bgColor rgb="FFFF0000"/>
        </patternFill>
      </fill>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152"/>
  <sheetViews>
    <sheetView tabSelected="1" workbookViewId="0">
      <pane xSplit="2" ySplit="2" topLeftCell="U75" activePane="bottomRight" state="frozen"/>
      <selection pane="topRight" activeCell="C1" sqref="C1"/>
      <selection pane="bottomLeft" activeCell="A3" sqref="A3"/>
      <selection pane="bottomRight" activeCell="V93" sqref="V93"/>
    </sheetView>
  </sheetViews>
  <sheetFormatPr defaultColWidth="9" defaultRowHeight="14.25" x14ac:dyDescent="0.2"/>
  <cols>
    <col min="1" max="1" width="16.125" style="3" bestFit="1" customWidth="1"/>
    <col min="2" max="2" width="5.25" style="3" bestFit="1" customWidth="1"/>
    <col min="3" max="3" width="16.375" style="3" bestFit="1" customWidth="1"/>
    <col min="4" max="4" width="36.75" style="3" customWidth="1"/>
    <col min="5" max="5" width="37.625" style="3" bestFit="1" customWidth="1"/>
    <col min="6" max="6" width="29.125" style="3" bestFit="1" customWidth="1"/>
    <col min="7" max="7" width="9.125" style="3" bestFit="1" customWidth="1"/>
    <col min="8" max="8" width="27.375" style="3" bestFit="1" customWidth="1"/>
    <col min="9" max="9" width="15.875" style="3" bestFit="1" customWidth="1"/>
    <col min="10" max="10" width="17.25" style="3" bestFit="1" customWidth="1"/>
    <col min="11" max="11" width="15.375" style="3" bestFit="1" customWidth="1"/>
    <col min="12" max="12" width="15.25" style="3" bestFit="1" customWidth="1"/>
    <col min="13" max="13" width="17.75" style="3" bestFit="1" customWidth="1"/>
    <col min="14" max="14" width="74.5" style="3" bestFit="1" customWidth="1"/>
    <col min="15" max="15" width="35.5" style="3" bestFit="1" customWidth="1"/>
    <col min="16" max="16" width="52.375" style="3" bestFit="1" customWidth="1"/>
    <col min="17" max="17" width="53.25" style="3" bestFit="1" customWidth="1"/>
    <col min="18" max="18" width="24" style="3" bestFit="1" customWidth="1"/>
    <col min="19" max="19" width="29.875" style="3" bestFit="1" customWidth="1"/>
    <col min="20" max="20" width="17.25" style="1" bestFit="1" customWidth="1"/>
    <col min="21" max="21" width="29.375" style="1" bestFit="1" customWidth="1"/>
    <col min="22" max="22" width="36.125" style="1" bestFit="1" customWidth="1"/>
    <col min="23" max="23" width="33.875" style="1" bestFit="1" customWidth="1"/>
    <col min="24" max="24" width="23.875" style="1" bestFit="1" customWidth="1"/>
    <col min="25" max="25" width="26.125" style="1" bestFit="1" customWidth="1"/>
    <col min="26" max="26" width="30.5" style="1" bestFit="1" customWidth="1"/>
    <col min="27" max="29" width="19.875" style="1" bestFit="1" customWidth="1"/>
    <col min="30" max="30" width="10.5" style="3" bestFit="1" customWidth="1"/>
    <col min="31" max="16384" width="9" style="3"/>
  </cols>
  <sheetData>
    <row r="1" spans="1:30" s="7" customFormat="1" x14ac:dyDescent="0.2">
      <c r="A1" s="7" t="s">
        <v>164</v>
      </c>
      <c r="B1" s="7" t="s">
        <v>165</v>
      </c>
      <c r="C1" s="7" t="s">
        <v>166</v>
      </c>
      <c r="D1" s="7" t="s">
        <v>167</v>
      </c>
      <c r="E1" s="7" t="s">
        <v>168</v>
      </c>
      <c r="F1" s="7" t="s">
        <v>169</v>
      </c>
      <c r="G1" s="7" t="s">
        <v>170</v>
      </c>
      <c r="H1" s="7" t="s">
        <v>171</v>
      </c>
      <c r="I1" s="7" t="s">
        <v>172</v>
      </c>
      <c r="J1" s="7" t="s">
        <v>173</v>
      </c>
      <c r="K1" s="7" t="s">
        <v>174</v>
      </c>
      <c r="L1" s="7" t="s">
        <v>175</v>
      </c>
      <c r="M1" s="7" t="s">
        <v>176</v>
      </c>
      <c r="N1" s="7" t="s">
        <v>4</v>
      </c>
      <c r="O1" s="7" t="s">
        <v>177</v>
      </c>
      <c r="P1" s="7" t="s">
        <v>178</v>
      </c>
      <c r="Q1" s="7" t="s">
        <v>179</v>
      </c>
      <c r="R1" s="7" t="s">
        <v>180</v>
      </c>
      <c r="S1" s="7" t="s">
        <v>181</v>
      </c>
      <c r="T1" s="7" t="s">
        <v>523</v>
      </c>
      <c r="U1" s="7" t="s">
        <v>524</v>
      </c>
      <c r="V1" s="7" t="s">
        <v>182</v>
      </c>
      <c r="W1" s="7" t="s">
        <v>182</v>
      </c>
      <c r="X1" s="7" t="s">
        <v>182</v>
      </c>
      <c r="Y1" s="7" t="s">
        <v>182</v>
      </c>
      <c r="Z1" s="7" t="s">
        <v>182</v>
      </c>
      <c r="AA1" s="7" t="s">
        <v>182</v>
      </c>
      <c r="AB1" s="7" t="s">
        <v>182</v>
      </c>
      <c r="AC1" s="7" t="s">
        <v>182</v>
      </c>
    </row>
    <row r="2" spans="1:30" s="7" customFormat="1" x14ac:dyDescent="0.2">
      <c r="A2" s="7" t="s">
        <v>183</v>
      </c>
      <c r="C2" s="7" t="s">
        <v>184</v>
      </c>
      <c r="D2" s="7" t="s">
        <v>185</v>
      </c>
      <c r="E2" s="7" t="s">
        <v>186</v>
      </c>
      <c r="F2" s="7" t="s">
        <v>159</v>
      </c>
      <c r="G2" s="7" t="s">
        <v>187</v>
      </c>
      <c r="H2" s="7" t="s">
        <v>188</v>
      </c>
      <c r="I2" s="7" t="s">
        <v>189</v>
      </c>
      <c r="J2" s="7" t="s">
        <v>190</v>
      </c>
      <c r="K2" s="7" t="s">
        <v>191</v>
      </c>
      <c r="L2" s="7" t="s">
        <v>192</v>
      </c>
      <c r="M2" s="7" t="s">
        <v>193</v>
      </c>
      <c r="N2" s="7" t="s">
        <v>1</v>
      </c>
      <c r="O2" s="7" t="s">
        <v>194</v>
      </c>
      <c r="P2" s="7" t="s">
        <v>195</v>
      </c>
      <c r="Q2" s="7" t="s">
        <v>196</v>
      </c>
      <c r="R2" s="7" t="s">
        <v>197</v>
      </c>
      <c r="S2" s="7" t="s">
        <v>198</v>
      </c>
      <c r="T2" s="7" t="s">
        <v>531</v>
      </c>
      <c r="U2" s="7" t="s">
        <v>535</v>
      </c>
      <c r="V2" s="7" t="s">
        <v>199</v>
      </c>
      <c r="W2" s="7" t="s">
        <v>199</v>
      </c>
      <c r="X2" s="7" t="s">
        <v>199</v>
      </c>
      <c r="Y2" s="7" t="s">
        <v>199</v>
      </c>
      <c r="Z2" s="7" t="s">
        <v>199</v>
      </c>
      <c r="AA2" s="7" t="s">
        <v>199</v>
      </c>
      <c r="AB2" s="7" t="s">
        <v>199</v>
      </c>
      <c r="AC2" s="7" t="s">
        <v>199</v>
      </c>
      <c r="AD2" s="7" t="s">
        <v>519</v>
      </c>
    </row>
    <row r="3" spans="1:30" x14ac:dyDescent="0.2">
      <c r="A3" s="3" t="s">
        <v>218</v>
      </c>
      <c r="C3" s="3" t="s">
        <v>522</v>
      </c>
      <c r="D3" s="4" t="str">
        <f>"abilities/enemy/"&amp;A3</f>
        <v>abilities/enemy/water_shield</v>
      </c>
      <c r="E3" s="3" t="s">
        <v>292</v>
      </c>
      <c r="G3" s="3">
        <v>5</v>
      </c>
      <c r="H3" s="3" t="s">
        <v>216</v>
      </c>
      <c r="I3" s="3">
        <v>900</v>
      </c>
      <c r="J3" s="3">
        <v>0.2</v>
      </c>
      <c r="K3" s="3">
        <v>12</v>
      </c>
      <c r="L3" s="3">
        <v>200</v>
      </c>
      <c r="N3" s="3" t="s">
        <v>5</v>
      </c>
      <c r="O3" s="3" t="s">
        <v>374</v>
      </c>
      <c r="P3" s="3" t="s">
        <v>202</v>
      </c>
      <c r="R3" s="3" t="s">
        <v>378</v>
      </c>
      <c r="T3" s="1">
        <v>5</v>
      </c>
      <c r="V3" s="1" t="s">
        <v>381</v>
      </c>
      <c r="W3" s="1" t="s">
        <v>204</v>
      </c>
      <c r="Y3" s="6"/>
      <c r="Z3" s="6"/>
    </row>
    <row r="4" spans="1:30" x14ac:dyDescent="0.2">
      <c r="V4" s="1" t="s">
        <v>432</v>
      </c>
      <c r="W4" s="1">
        <v>300</v>
      </c>
    </row>
    <row r="5" spans="1:30" x14ac:dyDescent="0.2">
      <c r="A5" s="3" t="s">
        <v>219</v>
      </c>
      <c r="C5" s="3" t="s">
        <v>522</v>
      </c>
      <c r="D5" s="4" t="str">
        <f>"abilities/enemy/"&amp;A5</f>
        <v>abilities/enemy/water_damage</v>
      </c>
      <c r="E5" s="3" t="s">
        <v>219</v>
      </c>
      <c r="G5" s="3">
        <v>5</v>
      </c>
      <c r="H5" s="3" t="s">
        <v>216</v>
      </c>
      <c r="I5" s="3">
        <v>900</v>
      </c>
      <c r="J5" s="3">
        <v>0.2</v>
      </c>
      <c r="K5" s="3">
        <v>12</v>
      </c>
      <c r="L5" s="3">
        <v>200</v>
      </c>
      <c r="N5" s="3" t="s">
        <v>5</v>
      </c>
      <c r="O5" s="3" t="s">
        <v>201</v>
      </c>
      <c r="P5" s="3" t="s">
        <v>202</v>
      </c>
      <c r="R5" s="3" t="s">
        <v>378</v>
      </c>
      <c r="T5" s="1" t="s">
        <v>525</v>
      </c>
      <c r="V5" s="1" t="s">
        <v>383</v>
      </c>
    </row>
    <row r="6" spans="1:30" x14ac:dyDescent="0.2">
      <c r="V6" s="1" t="s">
        <v>432</v>
      </c>
    </row>
    <row r="7" spans="1:30" x14ac:dyDescent="0.2">
      <c r="A7" s="3" t="s">
        <v>526</v>
      </c>
      <c r="C7" s="3" t="s">
        <v>522</v>
      </c>
      <c r="D7" s="4" t="str">
        <f>"abilities/enemy/"&amp;A7</f>
        <v>abilities/enemy/beast_beat</v>
      </c>
      <c r="E7" s="3" t="s">
        <v>527</v>
      </c>
      <c r="G7" s="3">
        <v>5</v>
      </c>
      <c r="H7" s="3" t="s">
        <v>216</v>
      </c>
      <c r="I7" s="3">
        <v>300</v>
      </c>
      <c r="J7" s="3">
        <v>0.5</v>
      </c>
      <c r="K7" s="3">
        <v>8</v>
      </c>
      <c r="L7" s="3">
        <v>60</v>
      </c>
      <c r="N7" s="3" t="s">
        <v>5</v>
      </c>
      <c r="O7" s="3" t="s">
        <v>201</v>
      </c>
      <c r="P7" s="3" t="s">
        <v>202</v>
      </c>
      <c r="R7" s="3" t="s">
        <v>217</v>
      </c>
      <c r="S7" s="3" t="s">
        <v>215</v>
      </c>
      <c r="T7" s="1">
        <v>0.5</v>
      </c>
      <c r="U7" s="1" t="s">
        <v>528</v>
      </c>
    </row>
    <row r="9" spans="1:30" x14ac:dyDescent="0.2">
      <c r="A9" s="3" t="s">
        <v>220</v>
      </c>
      <c r="C9" s="3" t="s">
        <v>522</v>
      </c>
      <c r="D9" s="4" t="str">
        <f t="shared" ref="D9" si="0">"abilities/enemy/"&amp;A9</f>
        <v>abilities/enemy/lightning_chain</v>
      </c>
      <c r="E9" s="3" t="s">
        <v>293</v>
      </c>
      <c r="G9" s="3">
        <v>5</v>
      </c>
      <c r="H9" s="3" t="s">
        <v>216</v>
      </c>
      <c r="I9" s="3">
        <v>900</v>
      </c>
      <c r="J9" s="3">
        <v>0.2</v>
      </c>
      <c r="K9" s="3">
        <v>12</v>
      </c>
      <c r="L9" s="3">
        <v>200</v>
      </c>
      <c r="N9" s="3" t="s">
        <v>5</v>
      </c>
      <c r="O9" s="3" t="s">
        <v>201</v>
      </c>
      <c r="P9" s="3" t="s">
        <v>202</v>
      </c>
      <c r="R9" s="3" t="s">
        <v>378</v>
      </c>
      <c r="S9" s="4"/>
      <c r="U9" s="1" t="s">
        <v>382</v>
      </c>
    </row>
    <row r="11" spans="1:30" s="4" customFormat="1" x14ac:dyDescent="0.2">
      <c r="A11" s="3" t="s">
        <v>221</v>
      </c>
      <c r="C11" s="3" t="s">
        <v>522</v>
      </c>
      <c r="D11" s="4" t="str">
        <f t="shared" ref="D11" si="1">"abilities/enemy/"&amp;A11</f>
        <v>abilities/enemy/hex</v>
      </c>
      <c r="E11" s="4" t="s">
        <v>294</v>
      </c>
      <c r="G11" s="4">
        <v>5</v>
      </c>
      <c r="H11" s="3" t="s">
        <v>205</v>
      </c>
      <c r="I11" s="4">
        <v>900</v>
      </c>
      <c r="J11" s="4">
        <v>0</v>
      </c>
      <c r="K11" s="4">
        <v>30</v>
      </c>
      <c r="L11" s="4">
        <v>200</v>
      </c>
      <c r="N11" s="3" t="s">
        <v>5</v>
      </c>
      <c r="O11" s="4" t="s">
        <v>201</v>
      </c>
      <c r="P11" s="3" t="s">
        <v>202</v>
      </c>
      <c r="R11" s="4" t="s">
        <v>378</v>
      </c>
      <c r="S11" s="4" t="s">
        <v>379</v>
      </c>
      <c r="T11" s="2" t="s">
        <v>448</v>
      </c>
      <c r="U11" s="2"/>
      <c r="V11" s="2" t="s">
        <v>383</v>
      </c>
      <c r="W11" s="2"/>
      <c r="X11" s="2"/>
      <c r="Y11" s="2"/>
      <c r="Z11" s="2"/>
      <c r="AA11" s="2"/>
      <c r="AB11" s="2"/>
      <c r="AC11" s="2"/>
    </row>
    <row r="12" spans="1:30" s="4" customFormat="1" x14ac:dyDescent="0.2">
      <c r="C12" s="3"/>
      <c r="D12" s="3"/>
      <c r="T12" s="2"/>
      <c r="U12" s="2"/>
      <c r="V12" s="2">
        <v>100</v>
      </c>
      <c r="W12" s="2"/>
      <c r="X12" s="2"/>
      <c r="Y12" s="2"/>
      <c r="Z12" s="2"/>
      <c r="AA12" s="2"/>
      <c r="AB12" s="2"/>
      <c r="AC12" s="2"/>
    </row>
    <row r="13" spans="1:30" x14ac:dyDescent="0.2">
      <c r="A13" s="3" t="s">
        <v>287</v>
      </c>
      <c r="C13" s="3" t="s">
        <v>522</v>
      </c>
      <c r="D13" s="4" t="str">
        <f t="shared" ref="D13" si="2">"abilities/enemy/"&amp;A13</f>
        <v>abilities/enemy/shadow_word</v>
      </c>
      <c r="E13" s="3" t="s">
        <v>358</v>
      </c>
      <c r="G13" s="3">
        <v>5</v>
      </c>
      <c r="H13" s="3" t="s">
        <v>205</v>
      </c>
      <c r="I13" s="3">
        <v>500</v>
      </c>
      <c r="J13" s="3">
        <v>0.5</v>
      </c>
      <c r="K13" s="3">
        <v>16</v>
      </c>
      <c r="L13" s="3">
        <v>150</v>
      </c>
      <c r="N13" s="3" t="s">
        <v>5</v>
      </c>
      <c r="O13" s="3" t="s">
        <v>201</v>
      </c>
      <c r="P13" s="3" t="s">
        <v>202</v>
      </c>
      <c r="Q13" s="3" t="s">
        <v>377</v>
      </c>
      <c r="R13" s="3" t="s">
        <v>378</v>
      </c>
      <c r="S13" s="3" t="s">
        <v>380</v>
      </c>
      <c r="T13" s="1" t="s">
        <v>529</v>
      </c>
      <c r="U13" s="1" t="s">
        <v>478</v>
      </c>
      <c r="V13" s="1" t="s">
        <v>475</v>
      </c>
      <c r="W13" s="1" t="s">
        <v>530</v>
      </c>
    </row>
    <row r="14" spans="1:30" x14ac:dyDescent="0.2">
      <c r="V14" s="1">
        <v>1</v>
      </c>
      <c r="W14" s="1" t="s">
        <v>508</v>
      </c>
    </row>
    <row r="15" spans="1:30" x14ac:dyDescent="0.2">
      <c r="A15" s="3" t="s">
        <v>288</v>
      </c>
      <c r="C15" s="3" t="s">
        <v>522</v>
      </c>
      <c r="D15" s="4" t="str">
        <f t="shared" ref="D15" si="3">"abilities/enemy/"&amp;A15</f>
        <v>abilities/enemy/fatal_bonds</v>
      </c>
      <c r="E15" s="3" t="s">
        <v>359</v>
      </c>
      <c r="G15" s="4">
        <v>5</v>
      </c>
      <c r="H15" s="3" t="s">
        <v>216</v>
      </c>
      <c r="I15" s="3">
        <v>600</v>
      </c>
      <c r="K15" s="3">
        <v>24</v>
      </c>
      <c r="L15" s="3">
        <v>100</v>
      </c>
      <c r="N15" s="3" t="s">
        <v>88</v>
      </c>
      <c r="O15" s="3" t="s">
        <v>201</v>
      </c>
      <c r="P15" s="3" t="s">
        <v>202</v>
      </c>
      <c r="R15" s="3" t="s">
        <v>378</v>
      </c>
      <c r="V15" s="1" t="s">
        <v>204</v>
      </c>
      <c r="W15" s="1" t="s">
        <v>434</v>
      </c>
    </row>
    <row r="16" spans="1:30" x14ac:dyDescent="0.2">
      <c r="G16" s="4"/>
      <c r="V16" s="1">
        <v>900</v>
      </c>
      <c r="W16" s="1">
        <v>12</v>
      </c>
    </row>
    <row r="17" spans="1:29" x14ac:dyDescent="0.2">
      <c r="A17" s="3" t="s">
        <v>289</v>
      </c>
      <c r="C17" s="3" t="s">
        <v>522</v>
      </c>
      <c r="D17" s="4" t="str">
        <f t="shared" ref="D17" si="4">"abilities/enemy/"&amp;A17</f>
        <v>abilities/enemy/upheaval</v>
      </c>
      <c r="E17" s="3" t="s">
        <v>360</v>
      </c>
      <c r="G17" s="3">
        <v>5</v>
      </c>
      <c r="H17" s="3" t="s">
        <v>365</v>
      </c>
      <c r="I17" s="3">
        <v>1200</v>
      </c>
      <c r="J17" s="3">
        <v>0.3</v>
      </c>
      <c r="K17" s="3">
        <v>12</v>
      </c>
      <c r="L17" s="3">
        <v>200</v>
      </c>
      <c r="N17" s="3" t="s">
        <v>89</v>
      </c>
      <c r="O17" s="3" t="s">
        <v>201</v>
      </c>
      <c r="P17" s="3" t="s">
        <v>202</v>
      </c>
      <c r="S17" s="3" t="s">
        <v>379</v>
      </c>
      <c r="T17" s="1">
        <v>6</v>
      </c>
      <c r="V17" s="1" t="s">
        <v>204</v>
      </c>
      <c r="W17" s="1" t="s">
        <v>494</v>
      </c>
    </row>
    <row r="18" spans="1:29" x14ac:dyDescent="0.2">
      <c r="V18" s="1">
        <v>900</v>
      </c>
      <c r="W18" s="1">
        <v>84</v>
      </c>
    </row>
    <row r="19" spans="1:29" x14ac:dyDescent="0.2">
      <c r="A19" s="3" t="s">
        <v>290</v>
      </c>
      <c r="C19" s="3" t="s">
        <v>522</v>
      </c>
      <c r="D19" s="4" t="str">
        <f t="shared" ref="D19" si="5">"abilities/enemy/"&amp;A19</f>
        <v>abilities/enemy/rain_of_chaos</v>
      </c>
      <c r="E19" s="3" t="s">
        <v>361</v>
      </c>
      <c r="F19" s="3" t="s">
        <v>363</v>
      </c>
      <c r="G19" s="4">
        <v>5</v>
      </c>
      <c r="H19" s="3" t="s">
        <v>364</v>
      </c>
      <c r="I19" s="3">
        <v>1200</v>
      </c>
      <c r="J19" s="3">
        <v>0.3</v>
      </c>
      <c r="K19" s="3">
        <v>30</v>
      </c>
      <c r="L19" s="3">
        <v>300</v>
      </c>
      <c r="N19" s="3" t="s">
        <v>89</v>
      </c>
      <c r="O19" s="3" t="s">
        <v>201</v>
      </c>
      <c r="P19" s="3" t="s">
        <v>202</v>
      </c>
      <c r="R19" s="3" t="s">
        <v>378</v>
      </c>
      <c r="S19" s="3" t="s">
        <v>215</v>
      </c>
      <c r="T19" s="1">
        <v>2</v>
      </c>
      <c r="U19" s="1" t="s">
        <v>495</v>
      </c>
      <c r="V19" s="1" t="s">
        <v>204</v>
      </c>
      <c r="W19" s="1" t="s">
        <v>469</v>
      </c>
    </row>
    <row r="20" spans="1:29" x14ac:dyDescent="0.2">
      <c r="G20" s="4"/>
      <c r="V20" s="1">
        <v>600</v>
      </c>
      <c r="W20" s="1">
        <v>1.3</v>
      </c>
    </row>
    <row r="21" spans="1:29" x14ac:dyDescent="0.2">
      <c r="A21" s="3" t="s">
        <v>222</v>
      </c>
      <c r="B21" s="5"/>
      <c r="C21" s="3" t="s">
        <v>522</v>
      </c>
      <c r="D21" s="4" t="str">
        <f t="shared" ref="D21" si="6">"abilities/enemy/"&amp;A21</f>
        <v>abilities/enemy/force_rush</v>
      </c>
      <c r="E21" s="3" t="s">
        <v>295</v>
      </c>
      <c r="G21" s="3">
        <v>5</v>
      </c>
      <c r="N21" s="3" t="s">
        <v>0</v>
      </c>
      <c r="O21" s="3" t="s">
        <v>201</v>
      </c>
      <c r="P21" s="3" t="s">
        <v>202</v>
      </c>
      <c r="V21" s="1" t="s">
        <v>384</v>
      </c>
      <c r="W21" s="1" t="s">
        <v>381</v>
      </c>
    </row>
    <row r="22" spans="1:29" x14ac:dyDescent="0.2">
      <c r="B22" s="5"/>
      <c r="V22" s="1" t="s">
        <v>385</v>
      </c>
      <c r="W22" s="1" t="s">
        <v>404</v>
      </c>
    </row>
    <row r="23" spans="1:29" s="4" customFormat="1" x14ac:dyDescent="0.2">
      <c r="A23" s="4" t="s">
        <v>223</v>
      </c>
      <c r="C23" s="3" t="s">
        <v>522</v>
      </c>
      <c r="D23" s="4" t="str">
        <f t="shared" ref="D23" si="7">"abilities/enemy/"&amp;A23</f>
        <v>abilities/enemy/courage</v>
      </c>
      <c r="E23" s="4" t="s">
        <v>296</v>
      </c>
      <c r="G23" s="4">
        <v>5</v>
      </c>
      <c r="N23" s="4" t="s">
        <v>0</v>
      </c>
      <c r="O23" s="4" t="s">
        <v>201</v>
      </c>
      <c r="P23" s="4" t="s">
        <v>202</v>
      </c>
      <c r="T23" s="2"/>
      <c r="U23" s="2"/>
      <c r="V23" s="2" t="s">
        <v>384</v>
      </c>
      <c r="W23" s="2"/>
      <c r="X23" s="2"/>
      <c r="Y23" s="2"/>
      <c r="Z23" s="2"/>
      <c r="AA23" s="2"/>
      <c r="AB23" s="2"/>
      <c r="AC23" s="2"/>
    </row>
    <row r="24" spans="1:29" s="4" customFormat="1" x14ac:dyDescent="0.2">
      <c r="C24" s="3"/>
      <c r="D24" s="3"/>
      <c r="T24" s="2"/>
      <c r="U24" s="2"/>
      <c r="V24" s="2" t="s">
        <v>386</v>
      </c>
      <c r="W24" s="2"/>
      <c r="X24" s="2"/>
      <c r="Y24" s="2"/>
      <c r="Z24" s="2"/>
      <c r="AA24" s="2"/>
      <c r="AB24" s="2"/>
      <c r="AC24" s="2"/>
    </row>
    <row r="25" spans="1:29" x14ac:dyDescent="0.2">
      <c r="A25" s="3" t="s">
        <v>224</v>
      </c>
      <c r="C25" s="3" t="s">
        <v>522</v>
      </c>
      <c r="D25" s="4" t="str">
        <f t="shared" ref="D25" si="8">"abilities/enemy/"&amp;A25</f>
        <v>abilities/enemy/life_absorb</v>
      </c>
      <c r="E25" s="3" t="s">
        <v>297</v>
      </c>
      <c r="F25" s="4"/>
      <c r="G25" s="3">
        <v>5</v>
      </c>
      <c r="I25" s="3">
        <v>900</v>
      </c>
      <c r="K25" s="3">
        <v>15</v>
      </c>
      <c r="N25" s="3" t="s">
        <v>5</v>
      </c>
      <c r="O25" s="3" t="s">
        <v>201</v>
      </c>
      <c r="P25" s="3" t="s">
        <v>202</v>
      </c>
      <c r="R25" s="3" t="s">
        <v>378</v>
      </c>
      <c r="V25" s="1" t="s">
        <v>206</v>
      </c>
      <c r="W25" s="1" t="s">
        <v>384</v>
      </c>
    </row>
    <row r="26" spans="1:29" x14ac:dyDescent="0.2">
      <c r="V26" s="1" t="s">
        <v>387</v>
      </c>
      <c r="W26" s="1">
        <v>1000</v>
      </c>
    </row>
    <row r="27" spans="1:29" s="4" customFormat="1" x14ac:dyDescent="0.2">
      <c r="A27" s="4" t="s">
        <v>225</v>
      </c>
      <c r="C27" s="3" t="s">
        <v>522</v>
      </c>
      <c r="D27" s="4" t="str">
        <f t="shared" ref="D27" si="9">"abilities/enemy/"&amp;A27</f>
        <v>abilities/enemy/wolf_critical</v>
      </c>
      <c r="E27" s="4" t="s">
        <v>298</v>
      </c>
      <c r="G27" s="4">
        <v>5</v>
      </c>
      <c r="N27" s="4" t="s">
        <v>0</v>
      </c>
      <c r="O27" s="4" t="s">
        <v>201</v>
      </c>
      <c r="P27" s="4" t="s">
        <v>202</v>
      </c>
      <c r="T27" s="2"/>
      <c r="U27" s="2"/>
      <c r="V27" s="2" t="s">
        <v>388</v>
      </c>
      <c r="W27" s="2" t="s">
        <v>446</v>
      </c>
      <c r="X27" s="2"/>
      <c r="Y27" s="2"/>
      <c r="Z27" s="2"/>
      <c r="AA27" s="2"/>
      <c r="AB27" s="2"/>
      <c r="AC27" s="2"/>
    </row>
    <row r="28" spans="1:29" s="4" customFormat="1" x14ac:dyDescent="0.2">
      <c r="C28" s="3"/>
      <c r="D28" s="3"/>
      <c r="T28" s="2"/>
      <c r="U28" s="2"/>
      <c r="V28" s="2" t="s">
        <v>389</v>
      </c>
      <c r="W28" s="2" t="s">
        <v>449</v>
      </c>
      <c r="X28" s="2"/>
      <c r="Y28" s="2"/>
      <c r="Z28" s="2"/>
      <c r="AA28" s="2"/>
      <c r="AB28" s="2"/>
      <c r="AC28" s="2"/>
    </row>
    <row r="29" spans="1:29" x14ac:dyDescent="0.2">
      <c r="A29" s="3" t="s">
        <v>226</v>
      </c>
      <c r="C29" s="3" t="s">
        <v>522</v>
      </c>
      <c r="D29" s="4" t="str">
        <f t="shared" ref="D29" si="10">"abilities/enemy/"&amp;A29</f>
        <v>abilities/enemy/wolf_wound</v>
      </c>
      <c r="E29" s="3" t="s">
        <v>299</v>
      </c>
      <c r="F29" s="4"/>
      <c r="G29" s="3">
        <v>5</v>
      </c>
      <c r="N29" s="3" t="s">
        <v>0</v>
      </c>
      <c r="R29" s="3" t="s">
        <v>217</v>
      </c>
      <c r="S29" s="3" t="s">
        <v>215</v>
      </c>
      <c r="V29" s="1" t="s">
        <v>390</v>
      </c>
      <c r="W29" s="1" t="s">
        <v>450</v>
      </c>
      <c r="X29" s="1" t="s">
        <v>477</v>
      </c>
    </row>
    <row r="30" spans="1:29" x14ac:dyDescent="0.2">
      <c r="V30" s="1">
        <v>15</v>
      </c>
      <c r="W30" s="1">
        <v>6</v>
      </c>
      <c r="X30" s="1" t="s">
        <v>478</v>
      </c>
    </row>
    <row r="31" spans="1:29" s="4" customFormat="1" x14ac:dyDescent="0.2">
      <c r="A31" s="4" t="s">
        <v>227</v>
      </c>
      <c r="C31" s="3" t="s">
        <v>522</v>
      </c>
      <c r="D31" s="4" t="str">
        <f t="shared" ref="D31" si="11">"abilities/enemy/"&amp;A31</f>
        <v>abilities/enemy/wolf_invisible</v>
      </c>
      <c r="E31" s="4" t="s">
        <v>300</v>
      </c>
      <c r="F31" s="3"/>
      <c r="G31" s="4">
        <v>5</v>
      </c>
      <c r="N31" s="4" t="s">
        <v>0</v>
      </c>
      <c r="T31" s="2"/>
      <c r="U31" s="2"/>
      <c r="V31" s="2"/>
      <c r="W31" s="2"/>
      <c r="X31" s="2"/>
      <c r="Y31" s="2"/>
      <c r="Z31" s="2"/>
      <c r="AA31" s="2"/>
      <c r="AB31" s="2"/>
      <c r="AC31" s="2"/>
    </row>
    <row r="32" spans="1:29" s="4" customFormat="1" x14ac:dyDescent="0.2">
      <c r="C32" s="3"/>
      <c r="D32" s="3"/>
      <c r="T32" s="2"/>
      <c r="U32" s="2"/>
      <c r="V32" s="2"/>
      <c r="W32" s="2"/>
      <c r="X32" s="2"/>
      <c r="Y32" s="2"/>
      <c r="Z32" s="2"/>
      <c r="AA32" s="2"/>
      <c r="AB32" s="2"/>
      <c r="AC32" s="2"/>
    </row>
    <row r="33" spans="1:29" x14ac:dyDescent="0.2">
      <c r="A33" s="3" t="s">
        <v>228</v>
      </c>
      <c r="C33" s="3" t="s">
        <v>522</v>
      </c>
      <c r="D33" s="4" t="str">
        <f t="shared" ref="D33" si="12">"abilities/enemy/"&amp;A33</f>
        <v>abilities/enemy/jugg_attack</v>
      </c>
      <c r="E33" s="3" t="s">
        <v>301</v>
      </c>
      <c r="F33" s="4"/>
      <c r="G33" s="3">
        <v>5</v>
      </c>
      <c r="N33" s="3" t="s">
        <v>0</v>
      </c>
      <c r="V33" s="1" t="s">
        <v>391</v>
      </c>
      <c r="W33" s="1" t="s">
        <v>451</v>
      </c>
      <c r="X33" s="1" t="s">
        <v>446</v>
      </c>
      <c r="Y33" s="1" t="s">
        <v>388</v>
      </c>
      <c r="Z33" s="1" t="s">
        <v>510</v>
      </c>
      <c r="AA33" s="1" t="s">
        <v>434</v>
      </c>
      <c r="AB33" s="1" t="s">
        <v>434</v>
      </c>
      <c r="AC33" s="1" t="s">
        <v>434</v>
      </c>
    </row>
    <row r="34" spans="1:29" x14ac:dyDescent="0.2">
      <c r="V34" s="1" t="s">
        <v>392</v>
      </c>
      <c r="W34" s="1" t="s">
        <v>452</v>
      </c>
      <c r="X34" s="1" t="s">
        <v>479</v>
      </c>
      <c r="Y34" s="1">
        <v>25</v>
      </c>
      <c r="Z34" s="1">
        <v>-150</v>
      </c>
      <c r="AA34" s="1">
        <v>2</v>
      </c>
      <c r="AB34" s="1">
        <v>2</v>
      </c>
      <c r="AC34" s="1">
        <v>2</v>
      </c>
    </row>
    <row r="35" spans="1:29" s="4" customFormat="1" x14ac:dyDescent="0.2">
      <c r="A35" s="4" t="s">
        <v>229</v>
      </c>
      <c r="C35" s="3" t="s">
        <v>522</v>
      </c>
      <c r="D35" s="4" t="str">
        <f t="shared" ref="D35" si="13">"abilities/enemy/"&amp;A35</f>
        <v>abilities/enemy/bomb_suicide</v>
      </c>
      <c r="E35" s="4" t="s">
        <v>302</v>
      </c>
      <c r="G35" s="4">
        <v>5</v>
      </c>
      <c r="N35" s="4" t="s">
        <v>0</v>
      </c>
      <c r="O35" s="4" t="s">
        <v>201</v>
      </c>
      <c r="P35" s="4" t="s">
        <v>202</v>
      </c>
      <c r="R35" s="4" t="s">
        <v>378</v>
      </c>
      <c r="T35" s="2"/>
      <c r="U35" s="2"/>
      <c r="V35" s="2" t="s">
        <v>206</v>
      </c>
      <c r="W35" s="2" t="s">
        <v>204</v>
      </c>
      <c r="X35" s="2"/>
      <c r="Y35" s="2"/>
      <c r="Z35" s="2"/>
      <c r="AA35" s="2"/>
      <c r="AB35" s="2"/>
      <c r="AC35" s="2"/>
    </row>
    <row r="36" spans="1:29" s="4" customFormat="1" x14ac:dyDescent="0.2">
      <c r="C36" s="3"/>
      <c r="D36" s="3"/>
      <c r="T36" s="2"/>
      <c r="U36" s="2"/>
      <c r="V36" s="2" t="s">
        <v>393</v>
      </c>
      <c r="W36" s="2">
        <v>600</v>
      </c>
      <c r="X36" s="2"/>
      <c r="Y36" s="2"/>
      <c r="Z36" s="2"/>
      <c r="AA36" s="2"/>
      <c r="AB36" s="2"/>
      <c r="AC36" s="2"/>
    </row>
    <row r="37" spans="1:29" x14ac:dyDescent="0.2">
      <c r="A37" s="3" t="s">
        <v>230</v>
      </c>
      <c r="C37" s="3" t="s">
        <v>522</v>
      </c>
      <c r="D37" s="4" t="str">
        <f t="shared" ref="D37" si="14">"abilities/enemy/"&amp;A37</f>
        <v>abilities/enemy/soul_tremble</v>
      </c>
      <c r="E37" s="3" t="s">
        <v>303</v>
      </c>
      <c r="F37" s="4"/>
      <c r="G37" s="3">
        <v>5</v>
      </c>
      <c r="H37" s="3" t="s">
        <v>216</v>
      </c>
      <c r="I37" s="3">
        <v>600</v>
      </c>
      <c r="J37" s="3">
        <v>0.3</v>
      </c>
      <c r="K37" s="3">
        <v>30</v>
      </c>
      <c r="L37" s="3">
        <v>100</v>
      </c>
      <c r="N37" s="3" t="s">
        <v>5</v>
      </c>
      <c r="O37" s="3" t="s">
        <v>201</v>
      </c>
      <c r="P37" s="3" t="s">
        <v>202</v>
      </c>
      <c r="R37" s="3" t="s">
        <v>378</v>
      </c>
      <c r="V37" s="1" t="s">
        <v>394</v>
      </c>
    </row>
    <row r="38" spans="1:29" x14ac:dyDescent="0.2">
      <c r="V38" s="1">
        <v>-500</v>
      </c>
    </row>
    <row r="39" spans="1:29" s="4" customFormat="1" x14ac:dyDescent="0.2">
      <c r="A39" s="4" t="s">
        <v>231</v>
      </c>
      <c r="C39" s="3" t="s">
        <v>522</v>
      </c>
      <c r="D39" s="4" t="str">
        <f t="shared" ref="D39" si="15">"abilities/enemy/"&amp;A39</f>
        <v>abilities/enemy/soul_hurt</v>
      </c>
      <c r="E39" s="4" t="s">
        <v>304</v>
      </c>
      <c r="G39" s="4">
        <v>5</v>
      </c>
      <c r="N39" s="4" t="s">
        <v>0</v>
      </c>
      <c r="R39" s="4" t="s">
        <v>378</v>
      </c>
      <c r="T39" s="2"/>
      <c r="U39" s="2"/>
      <c r="V39" s="2" t="s">
        <v>395</v>
      </c>
      <c r="W39" s="2"/>
      <c r="X39" s="2"/>
      <c r="Y39" s="2"/>
      <c r="Z39" s="2"/>
      <c r="AA39" s="2"/>
      <c r="AB39" s="2"/>
      <c r="AC39" s="2"/>
    </row>
    <row r="40" spans="1:29" s="4" customFormat="1" x14ac:dyDescent="0.2">
      <c r="C40" s="3"/>
      <c r="D40" s="3"/>
      <c r="T40" s="2"/>
      <c r="U40" s="2"/>
      <c r="V40" s="2" t="s">
        <v>396</v>
      </c>
      <c r="W40" s="2"/>
      <c r="X40" s="2"/>
      <c r="Y40" s="2"/>
      <c r="Z40" s="2"/>
      <c r="AA40" s="2"/>
      <c r="AB40" s="2"/>
      <c r="AC40" s="2"/>
    </row>
    <row r="41" spans="1:29" x14ac:dyDescent="0.2">
      <c r="A41" s="3" t="s">
        <v>232</v>
      </c>
      <c r="C41" s="3" t="s">
        <v>522</v>
      </c>
      <c r="D41" s="4" t="str">
        <f t="shared" ref="D41" si="16">"abilities/enemy/"&amp;A41</f>
        <v>abilities/enemy/fur_dance</v>
      </c>
      <c r="E41" s="3" t="s">
        <v>305</v>
      </c>
      <c r="F41" s="4"/>
      <c r="G41" s="3">
        <v>5</v>
      </c>
      <c r="K41" s="3">
        <v>20</v>
      </c>
      <c r="N41" s="3" t="s">
        <v>0</v>
      </c>
      <c r="R41" s="3" t="s">
        <v>378</v>
      </c>
      <c r="V41" s="1" t="s">
        <v>397</v>
      </c>
      <c r="W41" s="1" t="s">
        <v>434</v>
      </c>
    </row>
    <row r="42" spans="1:29" x14ac:dyDescent="0.2">
      <c r="V42" s="1" t="s">
        <v>398</v>
      </c>
      <c r="W42" s="1" t="s">
        <v>453</v>
      </c>
    </row>
    <row r="43" spans="1:29" x14ac:dyDescent="0.2">
      <c r="A43" s="3" t="s">
        <v>233</v>
      </c>
      <c r="C43" s="3" t="s">
        <v>522</v>
      </c>
      <c r="D43" s="4" t="str">
        <f t="shared" ref="D43" si="17">"abilities/enemy/"&amp;A43</f>
        <v>abilities/enemy/siling_attack</v>
      </c>
      <c r="E43" s="3" t="s">
        <v>306</v>
      </c>
      <c r="F43" s="4"/>
      <c r="G43" s="4">
        <v>5</v>
      </c>
      <c r="N43" s="3" t="s">
        <v>0</v>
      </c>
      <c r="O43" s="3" t="s">
        <v>201</v>
      </c>
      <c r="P43" s="3" t="s">
        <v>202</v>
      </c>
      <c r="V43" s="1" t="s">
        <v>399</v>
      </c>
    </row>
    <row r="44" spans="1:29" x14ac:dyDescent="0.2">
      <c r="G44" s="4"/>
      <c r="V44" s="1" t="s">
        <v>400</v>
      </c>
    </row>
    <row r="45" spans="1:29" x14ac:dyDescent="0.2">
      <c r="A45" s="3" t="s">
        <v>234</v>
      </c>
      <c r="C45" s="3" t="s">
        <v>522</v>
      </c>
      <c r="D45" s="4" t="str">
        <f t="shared" ref="D45" si="18">"abilities/enemy/"&amp;A45</f>
        <v>abilities/enemy/siling_speed</v>
      </c>
      <c r="E45" s="3" t="s">
        <v>307</v>
      </c>
      <c r="G45" s="3">
        <v>5</v>
      </c>
      <c r="N45" s="3" t="s">
        <v>0</v>
      </c>
      <c r="V45" s="1" t="s">
        <v>381</v>
      </c>
      <c r="W45" s="1" t="s">
        <v>383</v>
      </c>
    </row>
    <row r="46" spans="1:29" x14ac:dyDescent="0.2">
      <c r="V46" s="1" t="s">
        <v>401</v>
      </c>
      <c r="W46" s="1" t="s">
        <v>454</v>
      </c>
    </row>
    <row r="47" spans="1:29" x14ac:dyDescent="0.2">
      <c r="A47" s="3" t="s">
        <v>235</v>
      </c>
      <c r="C47" s="3" t="s">
        <v>522</v>
      </c>
      <c r="D47" s="4" t="str">
        <f t="shared" ref="D47" si="19">"abilities/enemy/"&amp;A47</f>
        <v>abilities/enemy/siling_death</v>
      </c>
      <c r="E47" s="3" t="s">
        <v>308</v>
      </c>
      <c r="G47" s="4">
        <v>5</v>
      </c>
      <c r="N47" s="3" t="s">
        <v>0</v>
      </c>
      <c r="O47" s="3" t="s">
        <v>201</v>
      </c>
      <c r="P47" s="3" t="s">
        <v>202</v>
      </c>
      <c r="R47" s="3" t="s">
        <v>378</v>
      </c>
      <c r="V47" s="1" t="s">
        <v>206</v>
      </c>
    </row>
    <row r="48" spans="1:29" x14ac:dyDescent="0.2">
      <c r="G48" s="4"/>
      <c r="V48" s="1" t="s">
        <v>402</v>
      </c>
    </row>
    <row r="49" spans="1:24" x14ac:dyDescent="0.2">
      <c r="A49" s="3" t="s">
        <v>236</v>
      </c>
      <c r="C49" s="3" t="s">
        <v>522</v>
      </c>
      <c r="D49" s="4" t="str">
        <f t="shared" ref="D49" si="20">"abilities/enemy/"&amp;A49</f>
        <v>abilities/enemy/xixue</v>
      </c>
      <c r="E49" s="3" t="s">
        <v>309</v>
      </c>
      <c r="G49" s="3">
        <v>5</v>
      </c>
      <c r="N49" s="3" t="s">
        <v>0</v>
      </c>
      <c r="O49" s="3" t="s">
        <v>201</v>
      </c>
      <c r="P49" s="3" t="s">
        <v>202</v>
      </c>
      <c r="V49" s="1" t="s">
        <v>403</v>
      </c>
      <c r="W49" s="1" t="s">
        <v>381</v>
      </c>
    </row>
    <row r="50" spans="1:24" x14ac:dyDescent="0.2">
      <c r="V50" s="1" t="s">
        <v>404</v>
      </c>
      <c r="W50" s="1" t="s">
        <v>417</v>
      </c>
    </row>
    <row r="51" spans="1:24" x14ac:dyDescent="0.2">
      <c r="A51" s="3" t="s">
        <v>237</v>
      </c>
      <c r="C51" s="3" t="s">
        <v>522</v>
      </c>
      <c r="D51" s="4" t="str">
        <f t="shared" ref="D51" si="21">"abilities/enemy/"&amp;A51</f>
        <v>abilities/enemy/tb_critical</v>
      </c>
      <c r="E51" s="3" t="s">
        <v>310</v>
      </c>
      <c r="G51" s="4">
        <v>5</v>
      </c>
      <c r="N51" s="3" t="s">
        <v>0</v>
      </c>
      <c r="O51" s="3" t="s">
        <v>201</v>
      </c>
      <c r="P51" s="3" t="s">
        <v>202</v>
      </c>
      <c r="V51" s="1" t="s">
        <v>388</v>
      </c>
      <c r="W51" s="1" t="s">
        <v>446</v>
      </c>
    </row>
    <row r="52" spans="1:24" x14ac:dyDescent="0.2">
      <c r="G52" s="4"/>
      <c r="V52" s="1" t="s">
        <v>405</v>
      </c>
      <c r="W52" s="1" t="s">
        <v>455</v>
      </c>
    </row>
    <row r="53" spans="1:24" x14ac:dyDescent="0.2">
      <c r="A53" s="3" t="s">
        <v>238</v>
      </c>
      <c r="C53" s="3" t="s">
        <v>522</v>
      </c>
      <c r="D53" s="4" t="str">
        <f t="shared" ref="D53" si="22">"abilities/enemy/"&amp;A53</f>
        <v>abilities/enemy/chouxue</v>
      </c>
      <c r="E53" s="3" t="s">
        <v>311</v>
      </c>
      <c r="G53" s="3">
        <v>5</v>
      </c>
      <c r="H53" s="3" t="s">
        <v>364</v>
      </c>
      <c r="I53" s="3">
        <v>900</v>
      </c>
      <c r="J53" s="3">
        <v>0.5</v>
      </c>
      <c r="K53" s="3">
        <v>40</v>
      </c>
      <c r="L53" s="3">
        <v>1000</v>
      </c>
      <c r="N53" s="3" t="s">
        <v>88</v>
      </c>
      <c r="O53" s="3" t="s">
        <v>201</v>
      </c>
      <c r="R53" s="3" t="s">
        <v>378</v>
      </c>
      <c r="V53" s="1" t="s">
        <v>206</v>
      </c>
    </row>
    <row r="54" spans="1:24" x14ac:dyDescent="0.2">
      <c r="V54" s="1" t="s">
        <v>406</v>
      </c>
    </row>
    <row r="55" spans="1:24" x14ac:dyDescent="0.2">
      <c r="A55" s="3" t="s">
        <v>239</v>
      </c>
      <c r="C55" s="3" t="s">
        <v>522</v>
      </c>
      <c r="D55" s="4" t="str">
        <f t="shared" ref="D55" si="23">"abilities/enemy/"&amp;A55</f>
        <v>abilities/enemy/xiaolan</v>
      </c>
      <c r="E55" s="3" t="s">
        <v>312</v>
      </c>
      <c r="G55" s="4">
        <v>5</v>
      </c>
      <c r="N55" s="3" t="s">
        <v>0</v>
      </c>
      <c r="O55" s="3" t="s">
        <v>201</v>
      </c>
      <c r="P55" s="3" t="s">
        <v>202</v>
      </c>
      <c r="V55" s="1" t="s">
        <v>407</v>
      </c>
      <c r="W55" s="1" t="s">
        <v>381</v>
      </c>
    </row>
    <row r="56" spans="1:24" x14ac:dyDescent="0.2">
      <c r="G56" s="4"/>
      <c r="V56" s="1" t="s">
        <v>408</v>
      </c>
      <c r="W56" s="1" t="s">
        <v>392</v>
      </c>
    </row>
    <row r="57" spans="1:24" x14ac:dyDescent="0.2">
      <c r="A57" s="3" t="s">
        <v>240</v>
      </c>
      <c r="C57" s="3" t="s">
        <v>522</v>
      </c>
      <c r="D57" s="4" t="str">
        <f t="shared" ref="D57" si="24">"abilities/enemy/"&amp;A57</f>
        <v>abilities/enemy/jianjia</v>
      </c>
      <c r="E57" s="3" t="s">
        <v>313</v>
      </c>
      <c r="G57" s="3">
        <v>5</v>
      </c>
      <c r="N57" s="3" t="s">
        <v>0</v>
      </c>
      <c r="O57" s="3" t="s">
        <v>201</v>
      </c>
      <c r="P57" s="3" t="s">
        <v>202</v>
      </c>
      <c r="V57" s="1" t="s">
        <v>409</v>
      </c>
    </row>
    <row r="58" spans="1:24" x14ac:dyDescent="0.2">
      <c r="V58" s="1">
        <v>-450</v>
      </c>
    </row>
    <row r="59" spans="1:24" x14ac:dyDescent="0.2">
      <c r="A59" s="3" t="s">
        <v>241</v>
      </c>
      <c r="C59" s="3" t="s">
        <v>522</v>
      </c>
      <c r="D59" s="4" t="str">
        <f t="shared" ref="D59" si="25">"abilities/enemy/"&amp;A59</f>
        <v>abilities/enemy/chenmo</v>
      </c>
      <c r="E59" s="3" t="s">
        <v>314</v>
      </c>
      <c r="G59" s="4">
        <v>5</v>
      </c>
      <c r="K59" s="3">
        <v>16</v>
      </c>
      <c r="N59" s="3" t="s">
        <v>88</v>
      </c>
      <c r="O59" s="3" t="s">
        <v>201</v>
      </c>
      <c r="P59" s="3" t="s">
        <v>202</v>
      </c>
      <c r="R59" s="3" t="s">
        <v>378</v>
      </c>
      <c r="V59" s="1" t="s">
        <v>410</v>
      </c>
      <c r="W59" s="1" t="s">
        <v>204</v>
      </c>
      <c r="X59" s="1" t="s">
        <v>434</v>
      </c>
    </row>
    <row r="60" spans="1:24" x14ac:dyDescent="0.2">
      <c r="G60" s="4"/>
      <c r="V60" s="1">
        <v>-3500</v>
      </c>
      <c r="W60" s="1">
        <v>1800</v>
      </c>
      <c r="X60" s="1" t="s">
        <v>480</v>
      </c>
    </row>
    <row r="61" spans="1:24" x14ac:dyDescent="0.2">
      <c r="A61" s="3" t="s">
        <v>242</v>
      </c>
      <c r="C61" s="3" t="s">
        <v>522</v>
      </c>
      <c r="D61" s="4" t="str">
        <f t="shared" ref="D61" si="26">"abilities/enemy/"&amp;A61</f>
        <v>abilities/enemy/poison_sting</v>
      </c>
      <c r="E61" s="3" t="s">
        <v>315</v>
      </c>
      <c r="F61" s="3" t="s">
        <v>200</v>
      </c>
      <c r="G61" s="3">
        <v>5</v>
      </c>
      <c r="N61" s="3" t="s">
        <v>0</v>
      </c>
      <c r="R61" s="3" t="s">
        <v>378</v>
      </c>
      <c r="S61" s="3" t="s">
        <v>215</v>
      </c>
      <c r="V61" s="1" t="s">
        <v>206</v>
      </c>
      <c r="W61" s="1" t="s">
        <v>434</v>
      </c>
    </row>
    <row r="62" spans="1:24" x14ac:dyDescent="0.2">
      <c r="V62" s="1" t="s">
        <v>411</v>
      </c>
      <c r="W62" s="1" t="s">
        <v>456</v>
      </c>
    </row>
    <row r="63" spans="1:24" x14ac:dyDescent="0.2">
      <c r="A63" s="3" t="s">
        <v>243</v>
      </c>
      <c r="C63" s="3" t="s">
        <v>522</v>
      </c>
      <c r="D63" s="4" t="str">
        <f t="shared" ref="D63" si="27">"abilities/enemy/"&amp;A63</f>
        <v>abilities/enemy/fuhuosishi</v>
      </c>
      <c r="E63" s="3" t="s">
        <v>316</v>
      </c>
      <c r="G63" s="4">
        <v>5</v>
      </c>
      <c r="H63" s="3" t="s">
        <v>216</v>
      </c>
      <c r="I63" s="3">
        <v>600</v>
      </c>
      <c r="J63" s="3">
        <v>0.3</v>
      </c>
      <c r="K63" s="3">
        <v>30</v>
      </c>
      <c r="L63" s="3">
        <v>0</v>
      </c>
      <c r="N63" s="3" t="s">
        <v>88</v>
      </c>
      <c r="O63" s="3" t="s">
        <v>375</v>
      </c>
      <c r="P63" s="3" t="s">
        <v>202</v>
      </c>
      <c r="V63" s="1" t="s">
        <v>204</v>
      </c>
      <c r="W63" s="1" t="s">
        <v>434</v>
      </c>
    </row>
    <row r="64" spans="1:24" x14ac:dyDescent="0.2">
      <c r="G64" s="4"/>
      <c r="V64" s="1" t="s">
        <v>412</v>
      </c>
      <c r="W64" s="1" t="s">
        <v>457</v>
      </c>
    </row>
    <row r="65" spans="1:26" x14ac:dyDescent="0.2">
      <c r="A65" s="3" t="s">
        <v>244</v>
      </c>
      <c r="C65" s="3" t="s">
        <v>522</v>
      </c>
      <c r="D65" s="4" t="str">
        <f t="shared" ref="D65" si="28">"abilities/enemy/"&amp;A65</f>
        <v>abilities/enemy/mana_burn</v>
      </c>
      <c r="E65" s="3" t="s">
        <v>317</v>
      </c>
      <c r="G65" s="3">
        <v>5</v>
      </c>
      <c r="H65" s="3" t="s">
        <v>216</v>
      </c>
      <c r="I65" s="3">
        <v>700</v>
      </c>
      <c r="J65" s="3">
        <v>0.3</v>
      </c>
      <c r="K65" s="3" t="s">
        <v>369</v>
      </c>
      <c r="L65" s="3">
        <v>0</v>
      </c>
      <c r="N65" s="3" t="s">
        <v>5</v>
      </c>
      <c r="O65" s="3" t="s">
        <v>375</v>
      </c>
      <c r="P65" s="3" t="s">
        <v>202</v>
      </c>
      <c r="Q65" s="3" t="s">
        <v>376</v>
      </c>
      <c r="R65" s="3" t="s">
        <v>378</v>
      </c>
      <c r="V65" s="1" t="s">
        <v>407</v>
      </c>
      <c r="W65" s="1" t="s">
        <v>422</v>
      </c>
    </row>
    <row r="66" spans="1:26" x14ac:dyDescent="0.2">
      <c r="V66" s="1" t="s">
        <v>400</v>
      </c>
      <c r="W66" s="1" t="s">
        <v>369</v>
      </c>
    </row>
    <row r="67" spans="1:26" x14ac:dyDescent="0.2">
      <c r="A67" s="3" t="s">
        <v>245</v>
      </c>
      <c r="C67" s="3" t="s">
        <v>522</v>
      </c>
      <c r="D67" s="4" t="str">
        <f t="shared" ref="D67" si="29">"abilities/enemy/"&amp;A67</f>
        <v>abilities/enemy/roshan_stun</v>
      </c>
      <c r="E67" s="3" t="s">
        <v>318</v>
      </c>
      <c r="G67" s="4">
        <v>5</v>
      </c>
      <c r="N67" s="3" t="s">
        <v>0</v>
      </c>
      <c r="O67" s="3" t="s">
        <v>201</v>
      </c>
      <c r="P67" s="3" t="s">
        <v>202</v>
      </c>
      <c r="R67" s="3" t="s">
        <v>378</v>
      </c>
      <c r="V67" s="1" t="s">
        <v>206</v>
      </c>
      <c r="W67" s="1" t="s">
        <v>388</v>
      </c>
      <c r="X67" s="1" t="s">
        <v>434</v>
      </c>
      <c r="Y67" s="1" t="s">
        <v>422</v>
      </c>
      <c r="Z67" s="1" t="s">
        <v>381</v>
      </c>
    </row>
    <row r="68" spans="1:26" x14ac:dyDescent="0.2">
      <c r="G68" s="4"/>
      <c r="V68" s="1" t="s">
        <v>413</v>
      </c>
      <c r="W68" s="1" t="s">
        <v>458</v>
      </c>
      <c r="X68" s="1" t="s">
        <v>481</v>
      </c>
      <c r="Y68" s="1" t="s">
        <v>496</v>
      </c>
      <c r="Z68" s="1" t="s">
        <v>511</v>
      </c>
    </row>
    <row r="69" spans="1:26" x14ac:dyDescent="0.2">
      <c r="A69" s="3" t="s">
        <v>246</v>
      </c>
      <c r="C69" s="3" t="s">
        <v>522</v>
      </c>
      <c r="D69" s="4" t="str">
        <f t="shared" ref="D69" si="30">"abilities/enemy/"&amp;A69</f>
        <v>abilities/enemy/slardar_stun</v>
      </c>
      <c r="E69" s="3" t="s">
        <v>319</v>
      </c>
      <c r="G69" s="3">
        <v>5</v>
      </c>
      <c r="N69" s="3" t="s">
        <v>0</v>
      </c>
      <c r="O69" s="3" t="s">
        <v>201</v>
      </c>
      <c r="P69" s="3" t="s">
        <v>202</v>
      </c>
      <c r="R69" s="3" t="s">
        <v>378</v>
      </c>
      <c r="V69" s="1" t="s">
        <v>206</v>
      </c>
      <c r="W69" s="1" t="s">
        <v>388</v>
      </c>
      <c r="X69" s="1" t="s">
        <v>434</v>
      </c>
      <c r="Y69" s="1" t="s">
        <v>497</v>
      </c>
      <c r="Z69" s="1" t="s">
        <v>381</v>
      </c>
    </row>
    <row r="70" spans="1:26" x14ac:dyDescent="0.2">
      <c r="V70" s="1" t="s">
        <v>414</v>
      </c>
      <c r="W70" s="1" t="s">
        <v>458</v>
      </c>
      <c r="X70" s="1" t="s">
        <v>480</v>
      </c>
      <c r="Y70" s="1">
        <v>-2700</v>
      </c>
      <c r="Z70" s="1" t="s">
        <v>511</v>
      </c>
    </row>
    <row r="71" spans="1:26" x14ac:dyDescent="0.2">
      <c r="A71" s="3" t="s">
        <v>247</v>
      </c>
      <c r="C71" s="3" t="s">
        <v>522</v>
      </c>
      <c r="D71" s="4" t="str">
        <f t="shared" ref="D71" si="31">"abilities/enemy/"&amp;A71</f>
        <v>abilities/enemy/slardar_crush</v>
      </c>
      <c r="E71" s="3" t="s">
        <v>320</v>
      </c>
      <c r="G71" s="4">
        <v>5</v>
      </c>
      <c r="H71" s="3" t="s">
        <v>205</v>
      </c>
      <c r="J71" s="3">
        <v>0.35</v>
      </c>
      <c r="K71" s="3" t="s">
        <v>370</v>
      </c>
      <c r="N71" s="3" t="s">
        <v>88</v>
      </c>
      <c r="O71" s="3" t="s">
        <v>201</v>
      </c>
      <c r="P71" s="3" t="s">
        <v>202</v>
      </c>
      <c r="R71" s="3" t="s">
        <v>378</v>
      </c>
      <c r="V71" s="1" t="s">
        <v>206</v>
      </c>
      <c r="W71" s="1" t="s">
        <v>204</v>
      </c>
      <c r="X71" s="1" t="s">
        <v>434</v>
      </c>
    </row>
    <row r="72" spans="1:26" x14ac:dyDescent="0.2">
      <c r="G72" s="4"/>
      <c r="V72" s="1" t="s">
        <v>415</v>
      </c>
      <c r="W72" s="1" t="s">
        <v>459</v>
      </c>
      <c r="X72" s="1" t="s">
        <v>482</v>
      </c>
    </row>
    <row r="73" spans="1:26" x14ac:dyDescent="0.2">
      <c r="A73" s="3" t="s">
        <v>248</v>
      </c>
      <c r="C73" s="3" t="s">
        <v>522</v>
      </c>
      <c r="D73" s="4" t="str">
        <f t="shared" ref="D73" si="32">"abilities/enemy/"&amp;A73</f>
        <v>abilities/enemy/slardar_run</v>
      </c>
      <c r="E73" s="3" t="s">
        <v>321</v>
      </c>
      <c r="G73" s="3">
        <v>5</v>
      </c>
      <c r="N73" s="3" t="s">
        <v>0</v>
      </c>
    </row>
    <row r="75" spans="1:26" x14ac:dyDescent="0.2">
      <c r="A75" s="3" t="s">
        <v>249</v>
      </c>
      <c r="C75" s="3" t="s">
        <v>522</v>
      </c>
      <c r="D75" s="4" t="str">
        <f t="shared" ref="D75" si="33">"abilities/enemy/"&amp;A75</f>
        <v>abilities/enemy/roshan_strike</v>
      </c>
      <c r="E75" s="3" t="s">
        <v>322</v>
      </c>
      <c r="G75" s="4">
        <v>5</v>
      </c>
      <c r="H75" s="3" t="s">
        <v>365</v>
      </c>
      <c r="J75" s="3">
        <v>0.3</v>
      </c>
      <c r="K75" s="3">
        <v>15</v>
      </c>
      <c r="L75" s="3">
        <v>60</v>
      </c>
      <c r="N75" s="3" t="s">
        <v>88</v>
      </c>
      <c r="O75" s="3" t="s">
        <v>201</v>
      </c>
      <c r="P75" s="3" t="s">
        <v>202</v>
      </c>
      <c r="R75" s="3" t="s">
        <v>378</v>
      </c>
      <c r="V75" s="1" t="s">
        <v>206</v>
      </c>
      <c r="W75" s="1" t="s">
        <v>204</v>
      </c>
    </row>
    <row r="76" spans="1:26" x14ac:dyDescent="0.2">
      <c r="G76" s="4"/>
      <c r="V76" s="1" t="s">
        <v>416</v>
      </c>
      <c r="W76" s="1" t="s">
        <v>460</v>
      </c>
    </row>
    <row r="77" spans="1:26" x14ac:dyDescent="0.2">
      <c r="A77" s="3" t="s">
        <v>250</v>
      </c>
      <c r="C77" s="3" t="s">
        <v>522</v>
      </c>
      <c r="D77" s="4" t="str">
        <f t="shared" ref="D77" si="34">"abilities/enemy/"&amp;A77</f>
        <v>abilities/enemy/roshan_shock</v>
      </c>
      <c r="E77" s="3" t="s">
        <v>323</v>
      </c>
      <c r="G77" s="3">
        <v>5</v>
      </c>
      <c r="H77" s="3" t="s">
        <v>365</v>
      </c>
      <c r="J77" s="3">
        <v>0.3</v>
      </c>
      <c r="K77" s="3">
        <v>15</v>
      </c>
      <c r="L77" s="3">
        <v>60</v>
      </c>
      <c r="N77" s="3" t="s">
        <v>88</v>
      </c>
      <c r="O77" s="3" t="s">
        <v>201</v>
      </c>
      <c r="P77" s="3" t="s">
        <v>202</v>
      </c>
      <c r="Q77" s="3" t="s">
        <v>376</v>
      </c>
      <c r="R77" s="3" t="s">
        <v>378</v>
      </c>
      <c r="V77" s="1" t="s">
        <v>381</v>
      </c>
      <c r="W77" s="1" t="s">
        <v>204</v>
      </c>
      <c r="X77" s="1" t="s">
        <v>383</v>
      </c>
      <c r="Y77" s="1" t="s">
        <v>490</v>
      </c>
      <c r="Z77" s="1" t="s">
        <v>434</v>
      </c>
    </row>
    <row r="78" spans="1:26" x14ac:dyDescent="0.2">
      <c r="V78" s="1" t="s">
        <v>417</v>
      </c>
      <c r="W78" s="1" t="s">
        <v>412</v>
      </c>
      <c r="X78" s="1">
        <v>-1500</v>
      </c>
      <c r="Y78" s="1" t="s">
        <v>400</v>
      </c>
      <c r="Z78" s="1" t="s">
        <v>512</v>
      </c>
    </row>
    <row r="79" spans="1:26" x14ac:dyDescent="0.2">
      <c r="A79" s="3" t="s">
        <v>251</v>
      </c>
      <c r="C79" s="3" t="s">
        <v>522</v>
      </c>
      <c r="D79" s="4" t="str">
        <f t="shared" ref="D79" si="35">"abilities/enemy/"&amp;A79</f>
        <v>abilities/enemy/mubei</v>
      </c>
      <c r="E79" s="3" t="s">
        <v>324</v>
      </c>
      <c r="G79" s="4">
        <v>5</v>
      </c>
      <c r="H79" s="3" t="s">
        <v>216</v>
      </c>
      <c r="I79" s="3">
        <v>600</v>
      </c>
      <c r="J79" s="3">
        <v>0.3</v>
      </c>
      <c r="K79" s="3">
        <v>60</v>
      </c>
      <c r="L79" s="3">
        <v>0</v>
      </c>
      <c r="N79" s="3" t="s">
        <v>0</v>
      </c>
      <c r="V79" s="1" t="s">
        <v>384</v>
      </c>
      <c r="W79" s="1" t="s">
        <v>204</v>
      </c>
      <c r="X79" s="1" t="s">
        <v>434</v>
      </c>
      <c r="Y79" s="1" t="s">
        <v>422</v>
      </c>
      <c r="Z79" s="1" t="s">
        <v>513</v>
      </c>
    </row>
    <row r="80" spans="1:26" x14ac:dyDescent="0.2">
      <c r="G80" s="4"/>
      <c r="V80" s="1" t="s">
        <v>418</v>
      </c>
      <c r="W80" s="1" t="s">
        <v>412</v>
      </c>
      <c r="X80" s="1" t="s">
        <v>483</v>
      </c>
      <c r="Y80" s="1" t="s">
        <v>498</v>
      </c>
      <c r="Z80" s="1" t="s">
        <v>514</v>
      </c>
    </row>
    <row r="81" spans="1:26" x14ac:dyDescent="0.2">
      <c r="A81" s="3" t="s">
        <v>252</v>
      </c>
      <c r="C81" s="3" t="s">
        <v>522</v>
      </c>
      <c r="D81" s="4" t="str">
        <f t="shared" ref="D81" si="36">"abilities/enemy/"&amp;A81</f>
        <v>abilities/enemy/shiwangchouxue</v>
      </c>
      <c r="E81" s="3" t="s">
        <v>325</v>
      </c>
      <c r="G81" s="3">
        <v>5</v>
      </c>
      <c r="H81" s="3" t="s">
        <v>366</v>
      </c>
      <c r="J81" s="3">
        <v>0.3</v>
      </c>
      <c r="K81" s="3">
        <v>3</v>
      </c>
      <c r="L81" s="3">
        <v>100</v>
      </c>
      <c r="N81" s="3" t="s">
        <v>88</v>
      </c>
      <c r="O81" s="3" t="s">
        <v>201</v>
      </c>
      <c r="P81" s="3" t="s">
        <v>202</v>
      </c>
      <c r="R81" s="3" t="s">
        <v>378</v>
      </c>
      <c r="V81" s="1" t="s">
        <v>206</v>
      </c>
      <c r="W81" s="1" t="s">
        <v>384</v>
      </c>
      <c r="X81" s="1" t="s">
        <v>204</v>
      </c>
    </row>
    <row r="82" spans="1:26" x14ac:dyDescent="0.2">
      <c r="V82" s="1" t="s">
        <v>419</v>
      </c>
      <c r="W82" s="1" t="s">
        <v>419</v>
      </c>
      <c r="X82" s="1" t="s">
        <v>484</v>
      </c>
    </row>
    <row r="83" spans="1:26" x14ac:dyDescent="0.2">
      <c r="A83" s="3" t="s">
        <v>253</v>
      </c>
      <c r="C83" s="3" t="s">
        <v>522</v>
      </c>
      <c r="D83" s="4" t="str">
        <f t="shared" ref="D83" si="37">"abilities/enemy/"&amp;A83</f>
        <v>abilities/enemy/fulan</v>
      </c>
      <c r="E83" s="3" t="s">
        <v>326</v>
      </c>
      <c r="G83" s="4">
        <v>5</v>
      </c>
      <c r="N83" s="3" t="s">
        <v>88</v>
      </c>
      <c r="O83" s="3" t="s">
        <v>201</v>
      </c>
      <c r="P83" s="3" t="s">
        <v>202</v>
      </c>
      <c r="R83" s="3" t="s">
        <v>378</v>
      </c>
      <c r="V83" s="1" t="s">
        <v>206</v>
      </c>
      <c r="W83" s="1" t="s">
        <v>204</v>
      </c>
      <c r="X83" s="1" t="s">
        <v>383</v>
      </c>
    </row>
    <row r="84" spans="1:26" x14ac:dyDescent="0.2">
      <c r="G84" s="4"/>
      <c r="V84" s="1" t="s">
        <v>420</v>
      </c>
      <c r="W84" s="1" t="s">
        <v>459</v>
      </c>
      <c r="X84" s="1">
        <v>-700</v>
      </c>
    </row>
    <row r="85" spans="1:26" x14ac:dyDescent="0.2">
      <c r="A85" s="3" t="s">
        <v>254</v>
      </c>
      <c r="C85" s="3" t="s">
        <v>522</v>
      </c>
      <c r="D85" s="4" t="str">
        <f t="shared" ref="D85" si="38">"abilities/enemy/"&amp;A85</f>
        <v>abilities/enemy/heartstop</v>
      </c>
      <c r="E85" s="3" t="s">
        <v>327</v>
      </c>
      <c r="G85" s="3">
        <v>5</v>
      </c>
      <c r="N85" s="3" t="s">
        <v>0</v>
      </c>
      <c r="O85" s="3" t="s">
        <v>201</v>
      </c>
      <c r="P85" s="3" t="s">
        <v>202</v>
      </c>
      <c r="R85" s="3" t="s">
        <v>212</v>
      </c>
      <c r="V85" s="1" t="s">
        <v>399</v>
      </c>
      <c r="W85" s="1" t="s">
        <v>530</v>
      </c>
      <c r="X85" s="1" t="s">
        <v>421</v>
      </c>
      <c r="Y85" s="1" t="s">
        <v>434</v>
      </c>
      <c r="Z85" s="1" t="s">
        <v>204</v>
      </c>
    </row>
    <row r="86" spans="1:26" x14ac:dyDescent="0.2">
      <c r="V86" s="1" t="s">
        <v>551</v>
      </c>
      <c r="W86" s="1" t="s">
        <v>552</v>
      </c>
      <c r="X86" s="1">
        <v>0.25</v>
      </c>
      <c r="Y86" s="1" t="s">
        <v>499</v>
      </c>
      <c r="Z86" s="1">
        <v>1200</v>
      </c>
    </row>
    <row r="87" spans="1:26" x14ac:dyDescent="0.2">
      <c r="A87" s="3" t="s">
        <v>255</v>
      </c>
      <c r="C87" s="3" t="s">
        <v>522</v>
      </c>
      <c r="D87" s="4" t="str">
        <f t="shared" ref="D87" si="39">"abilities/enemy/"&amp;A87</f>
        <v>abilities/enemy/boss_clear</v>
      </c>
      <c r="E87" s="3" t="s">
        <v>328</v>
      </c>
      <c r="G87" s="4">
        <v>5</v>
      </c>
      <c r="N87" s="3" t="s">
        <v>0</v>
      </c>
      <c r="O87" s="3" t="s">
        <v>201</v>
      </c>
      <c r="P87" s="3" t="s">
        <v>202</v>
      </c>
      <c r="V87" s="1" t="s">
        <v>421</v>
      </c>
      <c r="W87" s="1" t="s">
        <v>434</v>
      </c>
    </row>
    <row r="88" spans="1:26" x14ac:dyDescent="0.2">
      <c r="G88" s="4"/>
      <c r="V88" s="1">
        <v>5</v>
      </c>
      <c r="W88" s="1">
        <v>1.5</v>
      </c>
    </row>
    <row r="89" spans="1:26" x14ac:dyDescent="0.2">
      <c r="A89" s="3" t="s">
        <v>256</v>
      </c>
      <c r="C89" s="3" t="s">
        <v>522</v>
      </c>
      <c r="D89" s="4" t="str">
        <f t="shared" ref="D89" si="40">"abilities/enemy/"&amp;A89</f>
        <v>abilities/enemy/boss_blink</v>
      </c>
      <c r="E89" s="3" t="s">
        <v>329</v>
      </c>
      <c r="G89" s="3">
        <v>5</v>
      </c>
      <c r="K89" s="3" t="s">
        <v>371</v>
      </c>
      <c r="M89" s="3" t="s">
        <v>372</v>
      </c>
      <c r="N89" s="3" t="s">
        <v>373</v>
      </c>
      <c r="P89" s="3" t="s">
        <v>202</v>
      </c>
      <c r="V89" s="1" t="s">
        <v>422</v>
      </c>
      <c r="W89" s="1" t="s">
        <v>434</v>
      </c>
    </row>
    <row r="90" spans="1:26" x14ac:dyDescent="0.2">
      <c r="V90" s="1" t="s">
        <v>371</v>
      </c>
      <c r="W90" s="1">
        <v>2</v>
      </c>
    </row>
    <row r="91" spans="1:26" x14ac:dyDescent="0.2">
      <c r="A91" s="3" t="s">
        <v>257</v>
      </c>
      <c r="C91" s="3" t="s">
        <v>522</v>
      </c>
      <c r="D91" s="4" t="str">
        <f t="shared" ref="D91" si="41">"abilities/enemy/"&amp;A91</f>
        <v>abilities/enemy/soulsteal</v>
      </c>
      <c r="E91" s="3" t="s">
        <v>330</v>
      </c>
      <c r="G91" s="4">
        <v>5</v>
      </c>
      <c r="H91" s="3" t="s">
        <v>216</v>
      </c>
      <c r="I91" s="3">
        <v>1500</v>
      </c>
      <c r="J91" s="3">
        <v>0.1</v>
      </c>
      <c r="K91" s="3">
        <v>3</v>
      </c>
      <c r="N91" s="3" t="s">
        <v>88</v>
      </c>
      <c r="O91" s="3" t="s">
        <v>201</v>
      </c>
      <c r="P91" s="3" t="s">
        <v>202</v>
      </c>
      <c r="R91" s="3" t="s">
        <v>378</v>
      </c>
      <c r="U91" s="1" t="s">
        <v>411</v>
      </c>
      <c r="V91" s="1" t="s">
        <v>204</v>
      </c>
      <c r="W91" s="1" t="s">
        <v>397</v>
      </c>
      <c r="X91" s="1" t="s">
        <v>410</v>
      </c>
    </row>
    <row r="92" spans="1:26" x14ac:dyDescent="0.2">
      <c r="G92" s="4"/>
      <c r="V92" s="1">
        <v>1500</v>
      </c>
      <c r="W92" s="1">
        <v>3</v>
      </c>
      <c r="X92" s="1">
        <v>400</v>
      </c>
    </row>
    <row r="93" spans="1:26" x14ac:dyDescent="0.2">
      <c r="A93" s="3" t="s">
        <v>258</v>
      </c>
      <c r="C93" s="3" t="s">
        <v>522</v>
      </c>
      <c r="D93" s="4" t="str">
        <f t="shared" ref="D93" si="42">"abilities/enemy/"&amp;A93</f>
        <v>abilities/enemy/death_change</v>
      </c>
      <c r="E93" s="3" t="s">
        <v>331</v>
      </c>
      <c r="G93" s="3">
        <v>5</v>
      </c>
      <c r="H93" s="3" t="s">
        <v>216</v>
      </c>
      <c r="I93" s="3">
        <v>1200</v>
      </c>
      <c r="J93" s="3">
        <v>0.3</v>
      </c>
      <c r="K93" s="3" t="s">
        <v>371</v>
      </c>
      <c r="N93" s="3" t="s">
        <v>5</v>
      </c>
      <c r="O93" s="3" t="s">
        <v>201</v>
      </c>
      <c r="P93" s="3" t="s">
        <v>202</v>
      </c>
      <c r="T93" s="1">
        <v>4</v>
      </c>
      <c r="V93" s="1" t="s">
        <v>203</v>
      </c>
    </row>
    <row r="94" spans="1:26" x14ac:dyDescent="0.2">
      <c r="V94" s="1">
        <v>3</v>
      </c>
    </row>
    <row r="95" spans="1:26" x14ac:dyDescent="0.2">
      <c r="A95" s="3" t="s">
        <v>259</v>
      </c>
      <c r="C95" s="3" t="s">
        <v>522</v>
      </c>
      <c r="D95" s="4" t="str">
        <f t="shared" ref="D95" si="43">"abilities/enemy/"&amp;A95</f>
        <v>abilities/enemy/death</v>
      </c>
      <c r="E95" s="3" t="s">
        <v>332</v>
      </c>
      <c r="G95" s="4">
        <v>5</v>
      </c>
      <c r="H95" s="3" t="s">
        <v>364</v>
      </c>
      <c r="I95" s="3">
        <v>1200</v>
      </c>
      <c r="J95" s="3">
        <v>0.55000000000000004</v>
      </c>
      <c r="K95" s="3" t="s">
        <v>371</v>
      </c>
      <c r="N95" s="3" t="s">
        <v>5</v>
      </c>
      <c r="O95" s="3" t="s">
        <v>201</v>
      </c>
      <c r="P95" s="3" t="s">
        <v>202</v>
      </c>
      <c r="R95" s="3" t="s">
        <v>378</v>
      </c>
      <c r="V95" s="1" t="s">
        <v>553</v>
      </c>
      <c r="W95" s="1" t="s">
        <v>537</v>
      </c>
    </row>
    <row r="96" spans="1:26" x14ac:dyDescent="0.2">
      <c r="G96" s="4"/>
      <c r="V96" s="1" t="s">
        <v>554</v>
      </c>
      <c r="W96" s="1">
        <v>1.5</v>
      </c>
    </row>
    <row r="97" spans="1:29" x14ac:dyDescent="0.2">
      <c r="A97" s="3" t="s">
        <v>260</v>
      </c>
      <c r="B97" s="3" t="s">
        <v>538</v>
      </c>
      <c r="C97" s="3" t="s">
        <v>522</v>
      </c>
      <c r="D97" s="4" t="str">
        <f t="shared" ref="D97" si="44">"abilities/enemy/"&amp;A97</f>
        <v>abilities/enemy/angry_water</v>
      </c>
      <c r="E97" s="3" t="s">
        <v>333</v>
      </c>
      <c r="G97" s="3">
        <v>5</v>
      </c>
      <c r="J97" s="3">
        <v>0.3</v>
      </c>
      <c r="K97" s="3">
        <v>15</v>
      </c>
      <c r="L97" s="3">
        <v>200</v>
      </c>
      <c r="N97" s="3" t="s">
        <v>88</v>
      </c>
      <c r="O97" s="3" t="s">
        <v>201</v>
      </c>
      <c r="P97" s="3" t="s">
        <v>202</v>
      </c>
      <c r="R97" s="3" t="s">
        <v>378</v>
      </c>
      <c r="T97" s="1" t="s">
        <v>480</v>
      </c>
      <c r="U97" s="1" t="s">
        <v>423</v>
      </c>
      <c r="V97" s="1" t="s">
        <v>461</v>
      </c>
      <c r="W97" s="1" t="s">
        <v>485</v>
      </c>
      <c r="X97" s="1" t="s">
        <v>469</v>
      </c>
      <c r="Y97" s="1" t="s">
        <v>203</v>
      </c>
      <c r="Z97" s="1" t="s">
        <v>539</v>
      </c>
      <c r="AA97" s="1" t="s">
        <v>540</v>
      </c>
      <c r="AB97" s="1" t="s">
        <v>541</v>
      </c>
      <c r="AC97" s="1" t="s">
        <v>204</v>
      </c>
    </row>
    <row r="98" spans="1:29" x14ac:dyDescent="0.2">
      <c r="V98" s="1" t="s">
        <v>443</v>
      </c>
      <c r="W98" s="1" t="s">
        <v>503</v>
      </c>
      <c r="X98" s="1">
        <v>1.6</v>
      </c>
      <c r="Y98" s="1">
        <v>1.6</v>
      </c>
      <c r="Z98" s="1">
        <v>0.2</v>
      </c>
      <c r="AA98" s="1">
        <v>1100</v>
      </c>
      <c r="AB98" s="1">
        <v>3</v>
      </c>
      <c r="AC98" s="1">
        <v>225</v>
      </c>
    </row>
    <row r="99" spans="1:29" x14ac:dyDescent="0.2">
      <c r="A99" s="3" t="s">
        <v>261</v>
      </c>
      <c r="C99" s="3" t="s">
        <v>522</v>
      </c>
      <c r="D99" s="4" t="str">
        <f t="shared" ref="D99" si="45">"abilities/enemy/"&amp;A99</f>
        <v>abilities/enemy/water_ravage</v>
      </c>
      <c r="E99" s="3" t="s">
        <v>334</v>
      </c>
      <c r="G99" s="4">
        <v>5</v>
      </c>
      <c r="J99" s="3">
        <v>0.3</v>
      </c>
      <c r="K99" s="3">
        <v>15</v>
      </c>
      <c r="L99" s="3">
        <v>200</v>
      </c>
      <c r="N99" s="3" t="s">
        <v>88</v>
      </c>
      <c r="O99" s="3" t="s">
        <v>201</v>
      </c>
      <c r="P99" s="3" t="s">
        <v>202</v>
      </c>
      <c r="R99" s="3" t="s">
        <v>378</v>
      </c>
      <c r="U99" s="1" t="s">
        <v>424</v>
      </c>
      <c r="V99" s="1" t="s">
        <v>410</v>
      </c>
      <c r="W99" s="1" t="s">
        <v>434</v>
      </c>
      <c r="X99" s="1" t="s">
        <v>204</v>
      </c>
    </row>
    <row r="100" spans="1:29" x14ac:dyDescent="0.2">
      <c r="G100" s="4"/>
      <c r="V100" s="1">
        <v>725</v>
      </c>
      <c r="W100" s="1" t="s">
        <v>548</v>
      </c>
      <c r="X100" s="1">
        <v>1250</v>
      </c>
    </row>
    <row r="101" spans="1:29" x14ac:dyDescent="0.2">
      <c r="A101" s="3" t="s">
        <v>262</v>
      </c>
      <c r="C101" s="3" t="s">
        <v>522</v>
      </c>
      <c r="D101" s="4" t="str">
        <f t="shared" ref="D101" si="46">"abilities/enemy/"&amp;A101</f>
        <v>abilities/enemy/water_blade</v>
      </c>
      <c r="E101" s="3" t="s">
        <v>335</v>
      </c>
      <c r="G101" s="3">
        <v>5</v>
      </c>
      <c r="K101" s="3" t="s">
        <v>547</v>
      </c>
      <c r="N101" s="3" t="s">
        <v>0</v>
      </c>
      <c r="V101" s="1" t="s">
        <v>542</v>
      </c>
      <c r="W101" s="1" t="s">
        <v>543</v>
      </c>
      <c r="X101" s="1" t="s">
        <v>544</v>
      </c>
      <c r="Y101" s="1" t="s">
        <v>549</v>
      </c>
      <c r="Z101" s="1" t="s">
        <v>550</v>
      </c>
    </row>
    <row r="102" spans="1:29" x14ac:dyDescent="0.2">
      <c r="V102" s="1">
        <v>150</v>
      </c>
      <c r="W102" s="1">
        <v>650</v>
      </c>
      <c r="X102" s="1">
        <v>1500</v>
      </c>
      <c r="Y102" s="1" t="s">
        <v>545</v>
      </c>
      <c r="Z102" s="1" t="s">
        <v>546</v>
      </c>
    </row>
    <row r="103" spans="1:29" x14ac:dyDescent="0.2">
      <c r="A103" s="3" t="s">
        <v>263</v>
      </c>
      <c r="C103" s="3" t="s">
        <v>522</v>
      </c>
      <c r="D103" s="4" t="str">
        <f t="shared" ref="D103" si="47">"abilities/enemy/"&amp;A103</f>
        <v>abilities/enemy/lightning_attack</v>
      </c>
      <c r="E103" s="3" t="s">
        <v>336</v>
      </c>
      <c r="G103" s="4">
        <v>5</v>
      </c>
      <c r="H103" s="3" t="s">
        <v>216</v>
      </c>
      <c r="I103" s="3">
        <v>900</v>
      </c>
      <c r="J103" s="3">
        <v>0.2</v>
      </c>
      <c r="K103" s="3">
        <v>1.25</v>
      </c>
      <c r="L103" s="3">
        <v>200</v>
      </c>
      <c r="N103" s="3" t="s">
        <v>5</v>
      </c>
      <c r="O103" s="3" t="s">
        <v>201</v>
      </c>
      <c r="P103" s="3" t="s">
        <v>202</v>
      </c>
      <c r="R103" s="3" t="s">
        <v>378</v>
      </c>
      <c r="V103" s="1" t="s">
        <v>206</v>
      </c>
      <c r="W103" s="1" t="s">
        <v>204</v>
      </c>
      <c r="X103" s="1" t="s">
        <v>486</v>
      </c>
      <c r="Y103" s="1" t="s">
        <v>500</v>
      </c>
    </row>
    <row r="104" spans="1:29" x14ac:dyDescent="0.2">
      <c r="G104" s="4"/>
      <c r="V104" s="1" t="s">
        <v>425</v>
      </c>
      <c r="W104" s="1" t="s">
        <v>412</v>
      </c>
      <c r="X104" s="1" t="s">
        <v>487</v>
      </c>
      <c r="Y104" s="1" t="s">
        <v>501</v>
      </c>
    </row>
    <row r="105" spans="1:29" x14ac:dyDescent="0.2">
      <c r="A105" s="3" t="s">
        <v>264</v>
      </c>
      <c r="C105" s="3" t="s">
        <v>522</v>
      </c>
      <c r="D105" s="4" t="str">
        <f t="shared" ref="D105" si="48">"abilities/enemy/"&amp;A105</f>
        <v>abilities/enemy/lightning_crash</v>
      </c>
      <c r="E105" s="3" t="s">
        <v>337</v>
      </c>
      <c r="G105" s="3">
        <v>5</v>
      </c>
      <c r="H105" s="3" t="s">
        <v>216</v>
      </c>
      <c r="I105" s="3">
        <v>900</v>
      </c>
      <c r="J105" s="3">
        <v>0.2</v>
      </c>
      <c r="N105" s="3" t="s">
        <v>0</v>
      </c>
      <c r="O105" s="3" t="s">
        <v>201</v>
      </c>
      <c r="P105" s="3" t="s">
        <v>202</v>
      </c>
      <c r="R105" s="3" t="s">
        <v>378</v>
      </c>
      <c r="V105" s="1" t="s">
        <v>206</v>
      </c>
      <c r="W105" s="1" t="s">
        <v>462</v>
      </c>
      <c r="X105" s="1" t="s">
        <v>488</v>
      </c>
      <c r="Y105" s="1" t="s">
        <v>502</v>
      </c>
    </row>
    <row r="106" spans="1:29" x14ac:dyDescent="0.2">
      <c r="V106" s="1" t="s">
        <v>416</v>
      </c>
      <c r="W106" s="1" t="s">
        <v>463</v>
      </c>
      <c r="X106" s="1" t="s">
        <v>489</v>
      </c>
      <c r="Y106" s="1" t="s">
        <v>503</v>
      </c>
    </row>
    <row r="107" spans="1:29" x14ac:dyDescent="0.2">
      <c r="A107" s="3" t="s">
        <v>265</v>
      </c>
      <c r="C107" s="3" t="s">
        <v>522</v>
      </c>
      <c r="D107" s="4" t="str">
        <f t="shared" ref="D107" si="49">"abilities/enemy/"&amp;A107</f>
        <v>abilities/enemy/thunder_wrath</v>
      </c>
      <c r="E107" s="3" t="s">
        <v>338</v>
      </c>
      <c r="G107" s="4">
        <v>5</v>
      </c>
      <c r="J107" s="3">
        <v>0.4</v>
      </c>
      <c r="K107" s="3">
        <v>25</v>
      </c>
      <c r="L107" s="3">
        <v>200</v>
      </c>
      <c r="N107" s="3" t="s">
        <v>88</v>
      </c>
      <c r="O107" s="3" t="s">
        <v>201</v>
      </c>
      <c r="P107" s="3" t="s">
        <v>202</v>
      </c>
      <c r="R107" s="3" t="s">
        <v>378</v>
      </c>
      <c r="V107" s="1" t="s">
        <v>206</v>
      </c>
      <c r="W107" s="1" t="s">
        <v>434</v>
      </c>
      <c r="X107" s="1" t="s">
        <v>381</v>
      </c>
      <c r="Y107" s="1" t="s">
        <v>383</v>
      </c>
      <c r="Z107" s="1" t="s">
        <v>515</v>
      </c>
    </row>
    <row r="108" spans="1:29" x14ac:dyDescent="0.2">
      <c r="G108" s="4"/>
      <c r="V108" s="1" t="s">
        <v>426</v>
      </c>
      <c r="W108" s="1" t="s">
        <v>464</v>
      </c>
      <c r="X108" s="1">
        <v>-8400</v>
      </c>
      <c r="Y108" s="1">
        <v>-1000</v>
      </c>
      <c r="Z108" s="1">
        <v>20</v>
      </c>
    </row>
    <row r="109" spans="1:29" x14ac:dyDescent="0.2">
      <c r="A109" s="3" t="s">
        <v>266</v>
      </c>
      <c r="C109" s="3" t="s">
        <v>522</v>
      </c>
      <c r="D109" s="4" t="str">
        <f t="shared" ref="D109" si="50">"abilities/enemy/"&amp;A109</f>
        <v>abilities/enemy/god_body</v>
      </c>
      <c r="E109" s="3" t="s">
        <v>339</v>
      </c>
      <c r="G109" s="3">
        <v>5</v>
      </c>
      <c r="J109" s="3">
        <v>0.1</v>
      </c>
      <c r="K109" s="3">
        <v>2</v>
      </c>
      <c r="L109" s="3">
        <v>200</v>
      </c>
      <c r="N109" s="3" t="s">
        <v>88</v>
      </c>
      <c r="O109" s="3" t="s">
        <v>201</v>
      </c>
      <c r="P109" s="3" t="s">
        <v>202</v>
      </c>
      <c r="V109" s="1" t="s">
        <v>427</v>
      </c>
      <c r="W109" s="1" t="s">
        <v>397</v>
      </c>
    </row>
    <row r="110" spans="1:29" x14ac:dyDescent="0.2">
      <c r="V110" s="1" t="s">
        <v>428</v>
      </c>
      <c r="W110" s="1" t="s">
        <v>400</v>
      </c>
    </row>
    <row r="111" spans="1:29" x14ac:dyDescent="0.2">
      <c r="A111" s="3" t="s">
        <v>267</v>
      </c>
      <c r="C111" s="3" t="s">
        <v>522</v>
      </c>
      <c r="D111" s="4" t="str">
        <f t="shared" ref="D111" si="51">"abilities/enemy/"&amp;A111</f>
        <v>abilities/enemy/electrostatic_field</v>
      </c>
      <c r="E111" s="3" t="s">
        <v>340</v>
      </c>
      <c r="G111" s="4">
        <v>5</v>
      </c>
      <c r="J111" s="3">
        <v>0.1</v>
      </c>
      <c r="K111" s="3">
        <v>25</v>
      </c>
      <c r="L111" s="3">
        <v>200</v>
      </c>
      <c r="N111" s="3" t="s">
        <v>88</v>
      </c>
      <c r="O111" s="3" t="s">
        <v>201</v>
      </c>
      <c r="P111" s="3" t="s">
        <v>202</v>
      </c>
      <c r="V111" s="1" t="s">
        <v>427</v>
      </c>
    </row>
    <row r="112" spans="1:29" x14ac:dyDescent="0.2">
      <c r="G112" s="4"/>
      <c r="V112" s="1" t="s">
        <v>429</v>
      </c>
    </row>
    <row r="113" spans="1:25" x14ac:dyDescent="0.2">
      <c r="A113" s="3" t="s">
        <v>268</v>
      </c>
      <c r="C113" s="3" t="s">
        <v>522</v>
      </c>
      <c r="D113" s="4" t="str">
        <f t="shared" ref="D113" si="52">"abilities/enemy/"&amp;A113</f>
        <v>abilities/enemy/thunder_cloud</v>
      </c>
      <c r="E113" s="3" t="s">
        <v>341</v>
      </c>
      <c r="G113" s="3">
        <v>5</v>
      </c>
      <c r="J113" s="3">
        <v>0.1</v>
      </c>
      <c r="K113" s="3">
        <v>30</v>
      </c>
      <c r="L113" s="3">
        <v>200</v>
      </c>
      <c r="N113" s="3" t="s">
        <v>88</v>
      </c>
      <c r="O113" s="3" t="s">
        <v>201</v>
      </c>
      <c r="P113" s="3" t="s">
        <v>202</v>
      </c>
      <c r="V113" s="1" t="s">
        <v>206</v>
      </c>
      <c r="W113" s="1" t="s">
        <v>434</v>
      </c>
    </row>
    <row r="114" spans="1:25" x14ac:dyDescent="0.2">
      <c r="V114" s="1" t="s">
        <v>430</v>
      </c>
      <c r="W114" s="1" t="s">
        <v>465</v>
      </c>
    </row>
    <row r="115" spans="1:25" x14ac:dyDescent="0.2">
      <c r="A115" s="3" t="s">
        <v>269</v>
      </c>
      <c r="C115" s="3" t="s">
        <v>522</v>
      </c>
      <c r="D115" s="4" t="str">
        <f t="shared" ref="D115" si="53">"abilities/enemy/"&amp;A115</f>
        <v>abilities/enemy/golem_skin</v>
      </c>
      <c r="E115" s="3" t="s">
        <v>342</v>
      </c>
      <c r="G115" s="4">
        <v>5</v>
      </c>
      <c r="N115" s="3" t="s">
        <v>0</v>
      </c>
      <c r="V115" s="1" t="s">
        <v>431</v>
      </c>
    </row>
    <row r="116" spans="1:25" x14ac:dyDescent="0.2">
      <c r="G116" s="4"/>
      <c r="V116" s="1" t="s">
        <v>432</v>
      </c>
    </row>
    <row r="117" spans="1:25" x14ac:dyDescent="0.2">
      <c r="A117" s="3" t="s">
        <v>270</v>
      </c>
      <c r="C117" s="3" t="s">
        <v>522</v>
      </c>
      <c r="D117" s="4" t="str">
        <f t="shared" ref="D117" si="54">"abilities/enemy/"&amp;A117</f>
        <v>abilities/enemy/golem_spilt</v>
      </c>
      <c r="E117" s="3" t="s">
        <v>343</v>
      </c>
      <c r="G117" s="3">
        <v>5</v>
      </c>
      <c r="N117" s="3" t="s">
        <v>0</v>
      </c>
    </row>
    <row r="119" spans="1:25" x14ac:dyDescent="0.2">
      <c r="A119" s="3" t="s">
        <v>271</v>
      </c>
      <c r="C119" s="3" t="s">
        <v>522</v>
      </c>
      <c r="D119" s="4" t="str">
        <f t="shared" ref="D119" si="55">"abilities/enemy/"&amp;A119</f>
        <v>abilities/enemy/scream_of_pain</v>
      </c>
      <c r="E119" s="3" t="s">
        <v>344</v>
      </c>
      <c r="G119" s="4">
        <v>5</v>
      </c>
      <c r="K119" s="3">
        <v>7</v>
      </c>
      <c r="L119" s="3">
        <v>110</v>
      </c>
      <c r="N119" s="3" t="s">
        <v>88</v>
      </c>
      <c r="O119" s="3" t="s">
        <v>201</v>
      </c>
      <c r="P119" s="3" t="s">
        <v>202</v>
      </c>
      <c r="R119" s="3" t="s">
        <v>378</v>
      </c>
      <c r="S119" s="3" t="s">
        <v>379</v>
      </c>
      <c r="V119" s="1" t="s">
        <v>433</v>
      </c>
      <c r="W119" s="1" t="s">
        <v>206</v>
      </c>
      <c r="X119" s="1" t="s">
        <v>490</v>
      </c>
      <c r="Y119" s="1" t="s">
        <v>204</v>
      </c>
    </row>
    <row r="120" spans="1:25" x14ac:dyDescent="0.2">
      <c r="G120" s="4"/>
      <c r="V120" s="1">
        <v>900</v>
      </c>
      <c r="W120" s="1" t="s">
        <v>466</v>
      </c>
      <c r="X120" s="1">
        <v>1.5</v>
      </c>
      <c r="Y120" s="1">
        <v>600</v>
      </c>
    </row>
    <row r="121" spans="1:25" x14ac:dyDescent="0.2">
      <c r="A121" s="3" t="s">
        <v>272</v>
      </c>
      <c r="C121" s="3" t="s">
        <v>522</v>
      </c>
      <c r="D121" s="4" t="str">
        <f t="shared" ref="D121" si="56">"abilities/enemy/"&amp;A121</f>
        <v>abilities/enemy/queen_split</v>
      </c>
      <c r="E121" s="3" t="s">
        <v>345</v>
      </c>
      <c r="G121" s="3">
        <v>5</v>
      </c>
      <c r="K121" s="3">
        <v>40</v>
      </c>
      <c r="N121" s="3" t="s">
        <v>88</v>
      </c>
      <c r="O121" s="3" t="s">
        <v>201</v>
      </c>
      <c r="P121" s="3" t="s">
        <v>202</v>
      </c>
      <c r="V121" s="1" t="s">
        <v>434</v>
      </c>
      <c r="W121" s="1" t="s">
        <v>204</v>
      </c>
    </row>
    <row r="122" spans="1:25" x14ac:dyDescent="0.2">
      <c r="V122" s="1">
        <v>30</v>
      </c>
      <c r="W122" s="1">
        <v>600</v>
      </c>
    </row>
    <row r="123" spans="1:25" x14ac:dyDescent="0.2">
      <c r="A123" s="3" t="s">
        <v>273</v>
      </c>
      <c r="C123" s="3" t="s">
        <v>522</v>
      </c>
      <c r="D123" s="4" t="str">
        <f t="shared" ref="D123" si="57">"abilities/enemy/"&amp;A123</f>
        <v>abilities/enemy/shadow_strike</v>
      </c>
      <c r="E123" s="3" t="s">
        <v>346</v>
      </c>
      <c r="G123" s="4">
        <v>5</v>
      </c>
      <c r="N123" s="3" t="s">
        <v>0</v>
      </c>
      <c r="O123" s="3" t="s">
        <v>201</v>
      </c>
      <c r="P123" s="3" t="s">
        <v>202</v>
      </c>
      <c r="R123" s="3" t="s">
        <v>378</v>
      </c>
      <c r="V123" s="1" t="s">
        <v>203</v>
      </c>
      <c r="W123" s="1" t="s">
        <v>434</v>
      </c>
    </row>
    <row r="124" spans="1:25" x14ac:dyDescent="0.2">
      <c r="G124" s="4"/>
      <c r="V124" s="1">
        <v>0.2</v>
      </c>
      <c r="W124" s="1">
        <v>0.8</v>
      </c>
    </row>
    <row r="125" spans="1:25" x14ac:dyDescent="0.2">
      <c r="A125" s="3" t="s">
        <v>274</v>
      </c>
      <c r="C125" s="3" t="s">
        <v>522</v>
      </c>
      <c r="D125" s="4" t="str">
        <f t="shared" ref="D125" si="58">"abilities/enemy/"&amp;A125</f>
        <v>abilities/enemy/great_cleave</v>
      </c>
      <c r="E125" s="3" t="s">
        <v>347</v>
      </c>
      <c r="G125" s="3">
        <v>5</v>
      </c>
      <c r="N125" s="3" t="s">
        <v>0</v>
      </c>
      <c r="S125" s="3" t="s">
        <v>215</v>
      </c>
      <c r="V125" s="1" t="s">
        <v>435</v>
      </c>
      <c r="W125" s="1" t="s">
        <v>467</v>
      </c>
    </row>
    <row r="126" spans="1:25" x14ac:dyDescent="0.2">
      <c r="V126" s="1">
        <v>300</v>
      </c>
      <c r="W126" s="1" t="s">
        <v>468</v>
      </c>
    </row>
    <row r="127" spans="1:25" x14ac:dyDescent="0.2">
      <c r="A127" s="3" t="s">
        <v>275</v>
      </c>
      <c r="C127" s="3" t="s">
        <v>522</v>
      </c>
      <c r="D127" s="4" t="str">
        <f t="shared" ref="D127" si="59">"abilities/enemy/"&amp;A127</f>
        <v>abilities/enemy/shock_wave</v>
      </c>
      <c r="E127" s="3" t="s">
        <v>348</v>
      </c>
      <c r="G127" s="4">
        <v>5</v>
      </c>
      <c r="H127" s="3" t="s">
        <v>216</v>
      </c>
      <c r="J127" s="3">
        <v>2</v>
      </c>
      <c r="K127" s="3">
        <v>8</v>
      </c>
      <c r="N127" s="3" t="s">
        <v>88</v>
      </c>
      <c r="O127" s="3" t="s">
        <v>201</v>
      </c>
      <c r="P127" s="3" t="s">
        <v>202</v>
      </c>
      <c r="R127" s="3" t="s">
        <v>378</v>
      </c>
      <c r="V127" s="1" t="s">
        <v>206</v>
      </c>
      <c r="W127" s="1" t="s">
        <v>204</v>
      </c>
      <c r="X127" s="1" t="s">
        <v>410</v>
      </c>
      <c r="Y127" s="1" t="s">
        <v>504</v>
      </c>
    </row>
    <row r="128" spans="1:25" x14ac:dyDescent="0.2">
      <c r="G128" s="4"/>
      <c r="V128" s="1" t="s">
        <v>436</v>
      </c>
      <c r="W128" s="1">
        <v>600</v>
      </c>
      <c r="X128" s="1">
        <v>600</v>
      </c>
      <c r="Y128" s="1">
        <v>1200</v>
      </c>
    </row>
    <row r="129" spans="1:30" x14ac:dyDescent="0.2">
      <c r="A129" s="3" t="s">
        <v>276</v>
      </c>
      <c r="C129" s="3" t="s">
        <v>522</v>
      </c>
      <c r="D129" s="4" t="str">
        <f t="shared" ref="D129" si="60">"abilities/enemy/"&amp;A129</f>
        <v>abilities/enemy/earthshake</v>
      </c>
      <c r="E129" s="3" t="s">
        <v>349</v>
      </c>
      <c r="G129" s="3">
        <v>5</v>
      </c>
      <c r="K129" s="3">
        <v>8</v>
      </c>
      <c r="N129" s="3" t="s">
        <v>88</v>
      </c>
      <c r="O129" s="3" t="s">
        <v>201</v>
      </c>
      <c r="P129" s="3" t="s">
        <v>202</v>
      </c>
      <c r="R129" s="3" t="s">
        <v>378</v>
      </c>
      <c r="V129" s="1" t="s">
        <v>206</v>
      </c>
      <c r="W129" s="1" t="s">
        <v>469</v>
      </c>
      <c r="X129" s="1" t="s">
        <v>204</v>
      </c>
    </row>
    <row r="130" spans="1:30" x14ac:dyDescent="0.2">
      <c r="V130" s="1">
        <v>80</v>
      </c>
      <c r="W130" s="1">
        <v>4</v>
      </c>
      <c r="X130" s="1">
        <v>1200</v>
      </c>
    </row>
    <row r="131" spans="1:30" x14ac:dyDescent="0.2">
      <c r="A131" s="3" t="s">
        <v>277</v>
      </c>
      <c r="C131" s="3" t="s">
        <v>522</v>
      </c>
      <c r="D131" s="4" t="str">
        <f t="shared" ref="D131" si="61">"abilities/enemy/"&amp;A131</f>
        <v>abilities/enemy/enchant_totem</v>
      </c>
      <c r="E131" s="3" t="s">
        <v>350</v>
      </c>
      <c r="G131" s="4">
        <v>5</v>
      </c>
      <c r="H131" s="3" t="s">
        <v>205</v>
      </c>
      <c r="I131" s="3">
        <v>0</v>
      </c>
      <c r="J131" s="3" t="s">
        <v>367</v>
      </c>
      <c r="K131" s="3">
        <v>5</v>
      </c>
      <c r="L131" s="3">
        <v>50</v>
      </c>
      <c r="N131" s="3" t="s">
        <v>88</v>
      </c>
      <c r="O131" s="3" t="s">
        <v>201</v>
      </c>
      <c r="P131" s="3" t="s">
        <v>202</v>
      </c>
      <c r="R131" s="3" t="s">
        <v>378</v>
      </c>
      <c r="T131" s="1" t="s">
        <v>532</v>
      </c>
      <c r="U131" s="1" t="s">
        <v>536</v>
      </c>
      <c r="V131" s="1" t="s">
        <v>437</v>
      </c>
      <c r="W131" s="1" t="s">
        <v>434</v>
      </c>
      <c r="X131" s="1" t="s">
        <v>204</v>
      </c>
      <c r="Y131" s="1" t="s">
        <v>203</v>
      </c>
      <c r="Z131" s="1" t="s">
        <v>516</v>
      </c>
    </row>
    <row r="132" spans="1:30" x14ac:dyDescent="0.2">
      <c r="G132" s="4"/>
      <c r="V132" s="1" t="s">
        <v>438</v>
      </c>
      <c r="W132" s="1">
        <v>6</v>
      </c>
      <c r="X132" s="1">
        <v>500</v>
      </c>
      <c r="Y132" s="1">
        <v>2</v>
      </c>
      <c r="Z132" s="1" t="s">
        <v>517</v>
      </c>
    </row>
    <row r="133" spans="1:30" x14ac:dyDescent="0.2">
      <c r="A133" s="3" t="s">
        <v>278</v>
      </c>
      <c r="C133" s="3" t="s">
        <v>522</v>
      </c>
      <c r="D133" s="4" t="str">
        <f t="shared" ref="D133" si="62">"abilities/enemy/"&amp;A133</f>
        <v>abilities/enemy/mana_purge</v>
      </c>
      <c r="E133" s="3" t="s">
        <v>317</v>
      </c>
      <c r="G133" s="3">
        <v>5</v>
      </c>
      <c r="I133" s="3">
        <v>900</v>
      </c>
      <c r="K133" s="3">
        <v>16</v>
      </c>
      <c r="L133" s="3">
        <v>100</v>
      </c>
      <c r="N133" s="3" t="s">
        <v>5</v>
      </c>
      <c r="O133" s="3" t="s">
        <v>201</v>
      </c>
      <c r="P133" s="3" t="s">
        <v>202</v>
      </c>
    </row>
    <row r="135" spans="1:30" x14ac:dyDescent="0.2">
      <c r="A135" s="3" t="s">
        <v>279</v>
      </c>
      <c r="C135" s="3" t="s">
        <v>522</v>
      </c>
      <c r="D135" s="4" t="str">
        <f t="shared" ref="D135" si="63">"abilities/enemy/"&amp;A135</f>
        <v>abilities/enemy/death_arrow</v>
      </c>
      <c r="E135" s="3" t="s">
        <v>351</v>
      </c>
      <c r="G135" s="4">
        <v>5</v>
      </c>
      <c r="N135" s="3" t="s">
        <v>0</v>
      </c>
      <c r="O135" s="3" t="s">
        <v>201</v>
      </c>
      <c r="P135" s="3" t="s">
        <v>202</v>
      </c>
      <c r="R135" s="3" t="s">
        <v>378</v>
      </c>
      <c r="V135" s="1" t="s">
        <v>206</v>
      </c>
    </row>
    <row r="136" spans="1:30" x14ac:dyDescent="0.2">
      <c r="G136" s="4"/>
      <c r="V136" s="1">
        <v>10</v>
      </c>
    </row>
    <row r="137" spans="1:30" x14ac:dyDescent="0.2">
      <c r="A137" s="3" t="s">
        <v>280</v>
      </c>
      <c r="C137" s="3" t="s">
        <v>522</v>
      </c>
      <c r="D137" s="4" t="str">
        <f t="shared" ref="D137" si="64">"abilities/enemy/"&amp;A137</f>
        <v>abilities/enemy/storm_bolt</v>
      </c>
      <c r="E137" s="3" t="s">
        <v>352</v>
      </c>
      <c r="G137" s="3">
        <v>5</v>
      </c>
      <c r="H137" s="3" t="s">
        <v>216</v>
      </c>
      <c r="I137" s="3">
        <v>600</v>
      </c>
      <c r="J137" s="3">
        <v>0.3</v>
      </c>
      <c r="K137" s="3">
        <v>6</v>
      </c>
      <c r="L137" s="3">
        <v>140</v>
      </c>
      <c r="N137" s="3" t="s">
        <v>5</v>
      </c>
      <c r="O137" s="3" t="s">
        <v>201</v>
      </c>
      <c r="P137" s="3" t="s">
        <v>202</v>
      </c>
      <c r="R137" s="3" t="s">
        <v>378</v>
      </c>
      <c r="S137" s="3" t="s">
        <v>379</v>
      </c>
      <c r="U137" s="1" t="s">
        <v>424</v>
      </c>
      <c r="V137" s="1" t="s">
        <v>439</v>
      </c>
      <c r="W137" s="1" t="s">
        <v>470</v>
      </c>
      <c r="X137" s="1" t="s">
        <v>491</v>
      </c>
      <c r="Y137" s="1" t="s">
        <v>505</v>
      </c>
      <c r="AD137" s="3" t="s">
        <v>520</v>
      </c>
    </row>
    <row r="138" spans="1:30" x14ac:dyDescent="0.2">
      <c r="V138" s="1">
        <v>1000</v>
      </c>
      <c r="W138" s="1">
        <v>2</v>
      </c>
      <c r="X138" s="1">
        <v>255</v>
      </c>
      <c r="Y138" s="1">
        <v>225</v>
      </c>
    </row>
    <row r="139" spans="1:30" x14ac:dyDescent="0.2">
      <c r="A139" s="3" t="s">
        <v>281</v>
      </c>
      <c r="C139" s="3" t="s">
        <v>522</v>
      </c>
      <c r="D139" s="4" t="str">
        <f t="shared" ref="D139" si="65">"abilities/enemy/"&amp;A139</f>
        <v>abilities/enemy/gush</v>
      </c>
      <c r="E139" s="3" t="s">
        <v>313</v>
      </c>
      <c r="G139" s="4">
        <v>5</v>
      </c>
      <c r="H139" s="3" t="s">
        <v>216</v>
      </c>
      <c r="I139" s="3">
        <v>700</v>
      </c>
      <c r="J139" s="3">
        <v>0.3</v>
      </c>
      <c r="K139" s="3">
        <v>12</v>
      </c>
      <c r="L139" s="3">
        <v>100</v>
      </c>
      <c r="N139" s="3" t="s">
        <v>5</v>
      </c>
      <c r="O139" s="3" t="s">
        <v>201</v>
      </c>
      <c r="P139" s="3" t="s">
        <v>202</v>
      </c>
      <c r="R139" s="3" t="s">
        <v>378</v>
      </c>
      <c r="S139" s="3" t="s">
        <v>379</v>
      </c>
      <c r="V139" s="1" t="s">
        <v>433</v>
      </c>
      <c r="W139" s="1" t="s">
        <v>471</v>
      </c>
      <c r="X139" s="1" t="s">
        <v>492</v>
      </c>
      <c r="Y139" s="1" t="s">
        <v>206</v>
      </c>
      <c r="Z139" s="1" t="s">
        <v>434</v>
      </c>
    </row>
    <row r="140" spans="1:30" x14ac:dyDescent="0.2">
      <c r="G140" s="4"/>
      <c r="V140" s="1" t="s">
        <v>440</v>
      </c>
      <c r="W140" s="1">
        <v>-80</v>
      </c>
      <c r="X140" s="1">
        <v>-275</v>
      </c>
      <c r="Y140" s="1" t="s">
        <v>506</v>
      </c>
      <c r="Z140" s="1">
        <v>4</v>
      </c>
    </row>
    <row r="141" spans="1:30" x14ac:dyDescent="0.2">
      <c r="A141" s="3" t="s">
        <v>282</v>
      </c>
      <c r="C141" s="3" t="s">
        <v>522</v>
      </c>
      <c r="D141" s="4" t="str">
        <f t="shared" ref="D141" si="66">"abilities/enemy/"&amp;A141</f>
        <v>abilities/enemy/anchor_smash</v>
      </c>
      <c r="E141" s="3" t="s">
        <v>353</v>
      </c>
      <c r="G141" s="3">
        <v>5</v>
      </c>
      <c r="H141" s="3" t="s">
        <v>365</v>
      </c>
      <c r="I141" s="3">
        <v>400</v>
      </c>
      <c r="J141" s="3">
        <v>0.5</v>
      </c>
      <c r="K141" s="3">
        <v>4</v>
      </c>
      <c r="L141" s="3">
        <v>30</v>
      </c>
      <c r="N141" s="3" t="s">
        <v>88</v>
      </c>
      <c r="O141" s="3" t="s">
        <v>201</v>
      </c>
      <c r="P141" s="3" t="s">
        <v>202</v>
      </c>
      <c r="R141" s="3" t="s">
        <v>378</v>
      </c>
      <c r="S141" s="3" t="s">
        <v>215</v>
      </c>
      <c r="V141" s="1" t="s">
        <v>441</v>
      </c>
      <c r="W141" s="1" t="s">
        <v>472</v>
      </c>
      <c r="X141" s="1" t="s">
        <v>204</v>
      </c>
      <c r="Y141" s="1" t="s">
        <v>206</v>
      </c>
    </row>
    <row r="142" spans="1:30" x14ac:dyDescent="0.2">
      <c r="V142" s="1">
        <v>-60</v>
      </c>
      <c r="W142" s="1">
        <v>6</v>
      </c>
      <c r="X142" s="1">
        <v>400</v>
      </c>
      <c r="Y142" s="1" t="s">
        <v>506</v>
      </c>
    </row>
    <row r="143" spans="1:30" x14ac:dyDescent="0.2">
      <c r="A143" s="3" t="s">
        <v>283</v>
      </c>
      <c r="C143" s="3" t="s">
        <v>522</v>
      </c>
      <c r="D143" s="4" t="str">
        <f t="shared" ref="D143" si="67">"abilities/enemy/"&amp;A143</f>
        <v>abilities/enemy/warcry</v>
      </c>
      <c r="E143" s="3" t="s">
        <v>354</v>
      </c>
      <c r="G143" s="4">
        <v>5</v>
      </c>
      <c r="H143" s="3" t="s">
        <v>365</v>
      </c>
      <c r="I143" s="3">
        <v>900</v>
      </c>
      <c r="K143" s="3">
        <v>14</v>
      </c>
      <c r="L143" s="3">
        <v>25</v>
      </c>
      <c r="N143" s="3" t="s">
        <v>88</v>
      </c>
      <c r="O143" s="3" t="s">
        <v>201</v>
      </c>
      <c r="P143" s="3" t="s">
        <v>202</v>
      </c>
      <c r="R143" s="3" t="s">
        <v>378</v>
      </c>
      <c r="T143" s="1">
        <v>7</v>
      </c>
      <c r="V143" s="1" t="s">
        <v>442</v>
      </c>
      <c r="W143" s="1" t="s">
        <v>473</v>
      </c>
      <c r="X143" s="1" t="s">
        <v>204</v>
      </c>
      <c r="Y143" s="1" t="s">
        <v>507</v>
      </c>
    </row>
    <row r="144" spans="1:30" x14ac:dyDescent="0.2">
      <c r="G144" s="4"/>
      <c r="V144" s="1" t="s">
        <v>443</v>
      </c>
      <c r="W144" s="1">
        <v>50</v>
      </c>
      <c r="X144" s="1">
        <v>900</v>
      </c>
      <c r="Y144" s="1" t="s">
        <v>508</v>
      </c>
    </row>
    <row r="145" spans="1:30" x14ac:dyDescent="0.2">
      <c r="A145" s="3" t="s">
        <v>284</v>
      </c>
      <c r="C145" s="3" t="s">
        <v>522</v>
      </c>
      <c r="D145" s="4" t="str">
        <f t="shared" ref="D145" si="68">"abilities/enemy/"&amp;A145</f>
        <v>abilities/enemy/gods_strength</v>
      </c>
      <c r="E145" s="3" t="s">
        <v>355</v>
      </c>
      <c r="F145" s="3" t="s">
        <v>363</v>
      </c>
      <c r="G145" s="3">
        <v>5</v>
      </c>
      <c r="H145" s="3" t="s">
        <v>364</v>
      </c>
      <c r="I145" s="3">
        <v>900</v>
      </c>
      <c r="J145" s="3">
        <v>0.3</v>
      </c>
      <c r="K145" s="3">
        <v>40</v>
      </c>
      <c r="L145" s="3">
        <v>100</v>
      </c>
      <c r="N145" s="3" t="s">
        <v>88</v>
      </c>
      <c r="O145" s="3" t="s">
        <v>201</v>
      </c>
      <c r="P145" s="3" t="s">
        <v>202</v>
      </c>
      <c r="R145" s="3" t="s">
        <v>378</v>
      </c>
      <c r="T145" s="1" t="s">
        <v>533</v>
      </c>
      <c r="V145" s="1" t="s">
        <v>444</v>
      </c>
      <c r="W145" s="1" t="s">
        <v>474</v>
      </c>
      <c r="X145" s="1" t="s">
        <v>204</v>
      </c>
    </row>
    <row r="146" spans="1:30" x14ac:dyDescent="0.2">
      <c r="V146" s="1" t="s">
        <v>445</v>
      </c>
      <c r="W146" s="1">
        <v>-1</v>
      </c>
      <c r="X146" s="1">
        <v>900</v>
      </c>
    </row>
    <row r="147" spans="1:30" x14ac:dyDescent="0.2">
      <c r="A147" s="3" t="s">
        <v>285</v>
      </c>
      <c r="C147" s="3" t="s">
        <v>522</v>
      </c>
      <c r="D147" s="4" t="str">
        <f t="shared" ref="D147" si="69">"abilities/enemy/"&amp;A147</f>
        <v>abilities/enemy/hunt</v>
      </c>
      <c r="E147" s="3" t="s">
        <v>356</v>
      </c>
      <c r="G147" s="4">
        <v>5</v>
      </c>
      <c r="N147" s="3" t="s">
        <v>0</v>
      </c>
      <c r="O147" s="3" t="s">
        <v>201</v>
      </c>
      <c r="P147" s="3" t="s">
        <v>202</v>
      </c>
      <c r="V147" s="1" t="s">
        <v>446</v>
      </c>
      <c r="W147" s="1" t="s">
        <v>394</v>
      </c>
      <c r="X147" s="1" t="s">
        <v>493</v>
      </c>
      <c r="Y147" s="1" t="s">
        <v>509</v>
      </c>
      <c r="Z147" s="1" t="s">
        <v>451</v>
      </c>
      <c r="AA147" s="1" t="s">
        <v>518</v>
      </c>
      <c r="AB147" s="1" t="s">
        <v>518</v>
      </c>
      <c r="AC147" s="1" t="s">
        <v>518</v>
      </c>
    </row>
    <row r="148" spans="1:30" x14ac:dyDescent="0.2">
      <c r="G148" s="4"/>
      <c r="V148" s="1" t="s">
        <v>447</v>
      </c>
      <c r="W148" s="1">
        <v>-2250</v>
      </c>
      <c r="X148" s="1">
        <v>2</v>
      </c>
      <c r="Y148" s="1">
        <v>6</v>
      </c>
      <c r="Z148" s="1">
        <v>40</v>
      </c>
      <c r="AA148" s="1">
        <v>900</v>
      </c>
      <c r="AB148" s="1">
        <v>900</v>
      </c>
      <c r="AC148" s="1">
        <v>900</v>
      </c>
    </row>
    <row r="149" spans="1:30" x14ac:dyDescent="0.2">
      <c r="A149" s="3" t="s">
        <v>286</v>
      </c>
      <c r="C149" s="3" t="s">
        <v>522</v>
      </c>
      <c r="D149" s="4" t="str">
        <f t="shared" ref="D149" si="70">"abilities/enemy/"&amp;A149</f>
        <v>abilities/enemy/howl</v>
      </c>
      <c r="E149" s="3" t="s">
        <v>357</v>
      </c>
      <c r="G149" s="3">
        <v>5</v>
      </c>
      <c r="K149" s="3">
        <v>12</v>
      </c>
      <c r="N149" s="3" t="s">
        <v>0</v>
      </c>
      <c r="V149" s="1" t="s">
        <v>434</v>
      </c>
    </row>
    <row r="150" spans="1:30" x14ac:dyDescent="0.2">
      <c r="V150" s="1">
        <v>0.5</v>
      </c>
    </row>
    <row r="151" spans="1:30" x14ac:dyDescent="0.2">
      <c r="A151" s="3" t="s">
        <v>291</v>
      </c>
      <c r="C151" s="3" t="s">
        <v>522</v>
      </c>
      <c r="D151" s="4" t="str">
        <f t="shared" ref="D151" si="71">"abilities/enemy/"&amp;A151</f>
        <v>abilities/enemy/slience</v>
      </c>
      <c r="E151" s="3" t="s">
        <v>362</v>
      </c>
      <c r="G151" s="4">
        <v>5</v>
      </c>
      <c r="I151" s="3">
        <v>900</v>
      </c>
      <c r="J151" s="3" t="s">
        <v>368</v>
      </c>
      <c r="K151" s="3">
        <v>12</v>
      </c>
      <c r="L151" s="3">
        <v>0</v>
      </c>
      <c r="N151" s="3" t="s">
        <v>89</v>
      </c>
      <c r="O151" s="3" t="s">
        <v>201</v>
      </c>
      <c r="P151" s="3" t="s">
        <v>202</v>
      </c>
      <c r="S151" s="3" t="s">
        <v>379</v>
      </c>
      <c r="T151" s="1" t="s">
        <v>534</v>
      </c>
      <c r="V151" s="1" t="s">
        <v>204</v>
      </c>
      <c r="W151" s="1" t="s">
        <v>434</v>
      </c>
      <c r="AD151" s="3" t="s">
        <v>521</v>
      </c>
    </row>
    <row r="152" spans="1:30" x14ac:dyDescent="0.2">
      <c r="G152" s="4"/>
      <c r="V152" s="1">
        <v>425</v>
      </c>
      <c r="W152" s="1" t="s">
        <v>476</v>
      </c>
    </row>
  </sheetData>
  <phoneticPr fontId="1" type="noConversion"/>
  <conditionalFormatting sqref="E9 A153:S1048576 D8 D22 D26 D30 D34 D38 D42 D46 D50 D54 D58 D62 D66 D70 D74 D78 D82 D86 D90 D94 D98 D102 D106 D110 D114 D118 D122 D126 D130 D134 D138 D142 D146 D24 D28 D32 D36 D40 D44 D48 D52 D56 D60 D64 D68 D72 D76 D80 D84 D88 D92 D96 D100 D104 D108 D112 D116 D120 D124 D128 D132 D136 D140 D144 D152 H7:U8 A9:B9 C7:C9 V7:AA9 G9:T9 A21:C147 A151:C152 E151:F152 E21:F147 T151:AA1048565 H151:S152 AD151:XFD1048565 AD4:XFD9 AD13:XFD147 H21:AA147">
    <cfRule type="expression" dxfId="133" priority="148">
      <formula>MOD(ROW(A7),4)&lt;2</formula>
    </cfRule>
  </conditionalFormatting>
  <conditionalFormatting sqref="A3:C3 E9 A153:S1048576 G9:S9 D8 D10 D22 D26 D30 D34 D38 D42 D46 D50 D54 D58 D62 D66 D70 D74 D78 D82 D86 D90 D94 D98 D102 D106 D110 D114 D118 D122 D126 D130 D134 D138 D142 D146 D24 D28 D32 D36 D40 D44 D48 D52 D56 D60 D64 D68 D72 D76 D80 D84 D88 D92 D96 D100 D104 D108 D112 D116 D120 D124 D128 D132 D136 D140 D144 D148 D152 E3:AA3 H7:U8 A9:B11 C7:C11 V7:AA11 A21:C149 A151:C152 E151:F152 E21:F149 T151:AA1048567 H151:S152 G15 G19 G23 G27 G31 G35 G39 G43 G47 G51 G55 G59 G63 G67 G71 G75 G79 G83 G87 G91 G95 G99 G103 G107 G111 G115 G119 G123 G127 G131 G135 G139 G143 G147 G151 E10:S11 AD151:XFD1048567 AD3:XFD11 AD13:XFD149 H21:AA149">
    <cfRule type="expression" dxfId="132" priority="144">
      <formula>MOD(ROW(A4),2)=0</formula>
    </cfRule>
    <cfRule type="expression" dxfId="131" priority="145">
      <formula>MOD(ROW(A4),4)&lt;2</formula>
    </cfRule>
  </conditionalFormatting>
  <conditionalFormatting sqref="A3:C3 E9 A9:B12 C7:C12 E3:S3 A153:S1048576 G9:S9 E7:K8 D8 D10 D22 D26 D30 D34 D38 D42 D46 D50 D54 D58 D62 D66 D70 D74 D78 D82 D86 D90 D94 D98 D102 D106 D110 D114 D118 D122 D126 D130 D134 D138 D142 D146 D150 D12 D24 D28 D32 D36 D40 D44 D48 D52 D56 D60 D64 D68 D72 D76 D80 D84 D88 D92 D96 D100 D104 D108 D112 D116 D120 D124 D128 D132 D136 D140 D144 D148 D152 E21:F152 A21:C152 G15:G16 G19:G20 G23:G24 G27:G28 G31:G32 G35:G36 G39:G40 G43:G44 G47:G48 G51:G52 G55:G56 G59:G60 G63:G64 G67:G68 G71:G72 G75:G76 G79:G80 G83:G84 G87:G88 G91:G92 G95:G96 G99:G100 G103:G104 G107:G108 G111:G112 G115:G116 G119:G120 G123:G124 G127:G128 G131:G132 G135:G136 G139:G140 G143:G144 G147:G148 G151:G152 E10:S12 H21:S152">
    <cfRule type="expression" dxfId="130" priority="141">
      <formula>AND(ISBLANK(A3)=FALSE,MOD(ROW(),2)=0)</formula>
    </cfRule>
  </conditionalFormatting>
  <conditionalFormatting sqref="A7:B8 E7:G8">
    <cfRule type="expression" dxfId="129" priority="132">
      <formula>MOD(ROW(A10),4)&lt;2</formula>
    </cfRule>
  </conditionalFormatting>
  <conditionalFormatting sqref="A7:B8 E7:G8">
    <cfRule type="expression" dxfId="128" priority="130">
      <formula>MOD(ROW(A8),2)=0</formula>
    </cfRule>
    <cfRule type="expression" dxfId="127" priority="131">
      <formula>MOD(ROW(A8),4)&lt;2</formula>
    </cfRule>
  </conditionalFormatting>
  <conditionalFormatting sqref="L7:S8 A7:B8">
    <cfRule type="expression" dxfId="126" priority="129">
      <formula>AND(ISBLANK(A7)=FALSE,MOD(ROW(),2)=0)</formula>
    </cfRule>
  </conditionalFormatting>
  <conditionalFormatting sqref="F9">
    <cfRule type="expression" dxfId="125" priority="117">
      <formula>MOD(ROW(F12),4)&lt;2</formula>
    </cfRule>
  </conditionalFormatting>
  <conditionalFormatting sqref="F9">
    <cfRule type="expression" dxfId="124" priority="115">
      <formula>MOD(ROW(F10),2)=0</formula>
    </cfRule>
    <cfRule type="expression" dxfId="123" priority="116">
      <formula>MOD(ROW(F10),4)&lt;2</formula>
    </cfRule>
  </conditionalFormatting>
  <conditionalFormatting sqref="F9">
    <cfRule type="expression" dxfId="122" priority="114">
      <formula>AND(ISBLANK(F9)=FALSE,MOD(ROW(),2)=0)</formula>
    </cfRule>
  </conditionalFormatting>
  <conditionalFormatting sqref="R9">
    <cfRule type="expression" dxfId="121" priority="113">
      <formula>AND(ISBLANK(R9)=FALSE,MOD(ROW(),2)=0)</formula>
    </cfRule>
  </conditionalFormatting>
  <conditionalFormatting sqref="D7 D9 D21 D25 D29 D33 D37 D41 D45 D49 D53 D57 D61 D65 D69 D73 D77 D81 D85 D89 D93 D97 D101 D105 D109 D113 D117 D121 D125 D129 D133 D137 D141 D145 D23 D27 D31 D35 D39 D43 D47 D51 D55 D59 D63 D67 D71 D75 D79 D83 D87 D91 D95 D99 D103 D107 D111 D115 D119 D123 D127 D131 D135 D139 D143 D147 D151">
    <cfRule type="expression" dxfId="120" priority="112">
      <formula>MOD(ROW(D10),4)&lt;2</formula>
    </cfRule>
  </conditionalFormatting>
  <conditionalFormatting sqref="D3 D7 D9 D21 D25 D29 D33 D37 D41 D45 D49 D53 D57 D61 D65 D69 D73 D77 D81 D85 D89 D93 D97 D101 D105 D109 D113 D117 D121 D125 D129 D133 D137 D141 D145 D149 D11 D23 D27 D31 D35 D39 D43 D47 D51 D55 D59 D63 D67 D71 D75 D79 D83 D87 D91 D95 D99 D103 D107 D111 D115 D119 D123 D127 D131 D135 D139 D143 D147 D151">
    <cfRule type="expression" dxfId="119" priority="110">
      <formula>MOD(ROW(D4),2)=0</formula>
    </cfRule>
    <cfRule type="expression" dxfId="118" priority="111">
      <formula>MOD(ROW(D4),4)&lt;2</formula>
    </cfRule>
  </conditionalFormatting>
  <conditionalFormatting sqref="D3 D7 D9 D21 D25 D29 D33 D37 D41 D45 D49 D53 D57 D61 D65 D69 D73 D77 D81 D85 D89 D93 D97 D101 D105 D109 D113 D117 D121 D125 D129 D133 D137 D141 D145 D149 D11 D23 D27 D31 D35 D39 D43 D47 D51 D55 D59 D63 D67 D71 D75 D79 D83 D87 D91 D95 D99 D103 D107 D111 D115 D119 D123 D127 D131 D135 D139 D143 D147 D151">
    <cfRule type="expression" dxfId="117" priority="109">
      <formula>AND(ISBLANK(D3)=FALSE,MOD(ROW(),2)=0)</formula>
    </cfRule>
  </conditionalFormatting>
  <conditionalFormatting sqref="U11 V10:AA12 A10:S12 T12:U12 T10 T1048566:AA1048576 G15:G16 G19:G20 G23:G24 G27:G28 G31:G32 G35:G36 G39:G40 G43:G44 G47:G48 G51:G52 G55:G56 G59:G60 G63:G64 G67:G68 G71:G72 G75:G76 G79:G80 G83:G84 G87:G88 G91:G92 G95:G96 G99:G100 G103:G104 G107:G108 G111:G112 G115:G116 G119:G120 G123:G124 G127:G128 G131:G132 G135:G136 G139:G140 G143:G144 G147:G148 G151:G152 AD1048566:XFD1048576 AD10:XFD12">
    <cfRule type="expression" dxfId="116" priority="108">
      <formula>MOD(ROW(A21),4)&lt;2</formula>
    </cfRule>
  </conditionalFormatting>
  <conditionalFormatting sqref="T9:T10 U11">
    <cfRule type="expression" dxfId="115" priority="106">
      <formula>MOD(ROW(T10),2)=0</formula>
    </cfRule>
    <cfRule type="expression" dxfId="114" priority="107">
      <formula>MOD(ROW(T10),4)&lt;2</formula>
    </cfRule>
  </conditionalFormatting>
  <conditionalFormatting sqref="U10">
    <cfRule type="expression" dxfId="113" priority="105">
      <formula>MOD(ROW(U21),4)&lt;2</formula>
    </cfRule>
  </conditionalFormatting>
  <conditionalFormatting sqref="U10">
    <cfRule type="expression" dxfId="112" priority="103">
      <formula>MOD(ROW(U11),2)=0</formula>
    </cfRule>
    <cfRule type="expression" dxfId="111" priority="104">
      <formula>MOD(ROW(U11),4)&lt;2</formula>
    </cfRule>
  </conditionalFormatting>
  <conditionalFormatting sqref="U9">
    <cfRule type="expression" dxfId="110" priority="102">
      <formula>MOD(ROW(U12),4)&lt;2</formula>
    </cfRule>
  </conditionalFormatting>
  <conditionalFormatting sqref="U9">
    <cfRule type="expression" dxfId="109" priority="100">
      <formula>MOD(ROW(U10),2)=0</formula>
    </cfRule>
    <cfRule type="expression" dxfId="108" priority="101">
      <formula>MOD(ROW(U10),4)&lt;2</formula>
    </cfRule>
  </conditionalFormatting>
  <conditionalFormatting sqref="T11">
    <cfRule type="expression" dxfId="107" priority="99">
      <formula>MOD(ROW(T22),4)&lt;2</formula>
    </cfRule>
  </conditionalFormatting>
  <conditionalFormatting sqref="T11">
    <cfRule type="expression" dxfId="106" priority="97">
      <formula>MOD(ROW(T12),2)=0</formula>
    </cfRule>
    <cfRule type="expression" dxfId="105" priority="98">
      <formula>MOD(ROW(T12),4)&lt;2</formula>
    </cfRule>
  </conditionalFormatting>
  <conditionalFormatting sqref="A3:AA3 AD3:XFD3">
    <cfRule type="expression" dxfId="104" priority="149">
      <formula>MOD(ROW(A8),4)&lt;2</formula>
    </cfRule>
  </conditionalFormatting>
  <conditionalFormatting sqref="C5:C6 D6 H5:AA6">
    <cfRule type="expression" dxfId="103" priority="96">
      <formula>MOD(ROW(C8),4)&lt;2</formula>
    </cfRule>
  </conditionalFormatting>
  <conditionalFormatting sqref="C5:C6 D6 H5:AA6">
    <cfRule type="expression" dxfId="102" priority="94">
      <formula>MOD(ROW(C6),2)=0</formula>
    </cfRule>
    <cfRule type="expression" dxfId="101" priority="95">
      <formula>MOD(ROW(C6),4)&lt;2</formula>
    </cfRule>
  </conditionalFormatting>
  <conditionalFormatting sqref="C5:C6 E5:K6 D6">
    <cfRule type="expression" dxfId="100" priority="93">
      <formula>AND(ISBLANK(C5)=FALSE,MOD(ROW(),2)=0)</formula>
    </cfRule>
  </conditionalFormatting>
  <conditionalFormatting sqref="A5:B6 E5:G6">
    <cfRule type="expression" dxfId="99" priority="92">
      <formula>MOD(ROW(A8),4)&lt;2</formula>
    </cfRule>
  </conditionalFormatting>
  <conditionalFormatting sqref="A5:B6 E5:G6">
    <cfRule type="expression" dxfId="98" priority="90">
      <formula>MOD(ROW(A6),2)=0</formula>
    </cfRule>
    <cfRule type="expression" dxfId="97" priority="91">
      <formula>MOD(ROW(A6),4)&lt;2</formula>
    </cfRule>
  </conditionalFormatting>
  <conditionalFormatting sqref="L5:S6 A5:B6">
    <cfRule type="expression" dxfId="96" priority="89">
      <formula>AND(ISBLANK(A5)=FALSE,MOD(ROW(),2)=0)</formula>
    </cfRule>
  </conditionalFormatting>
  <conditionalFormatting sqref="D5">
    <cfRule type="expression" dxfId="95" priority="88">
      <formula>MOD(ROW(D8),4)&lt;2</formula>
    </cfRule>
  </conditionalFormatting>
  <conditionalFormatting sqref="D5">
    <cfRule type="expression" dxfId="94" priority="86">
      <formula>MOD(ROW(D6),2)=0</formula>
    </cfRule>
    <cfRule type="expression" dxfId="93" priority="87">
      <formula>MOD(ROW(D6),4)&lt;2</formula>
    </cfRule>
  </conditionalFormatting>
  <conditionalFormatting sqref="D5">
    <cfRule type="expression" dxfId="92" priority="85">
      <formula>AND(ISBLANK(D5)=FALSE,MOD(ROW(),2)=0)</formula>
    </cfRule>
  </conditionalFormatting>
  <conditionalFormatting sqref="C4:D4 H4:AA4">
    <cfRule type="expression" dxfId="91" priority="84">
      <formula>MOD(ROW(C7),4)&lt;2</formula>
    </cfRule>
  </conditionalFormatting>
  <conditionalFormatting sqref="C4:D4 H4:AA4">
    <cfRule type="expression" dxfId="90" priority="82">
      <formula>MOD(ROW(C5),2)=0</formula>
    </cfRule>
    <cfRule type="expression" dxfId="89" priority="83">
      <formula>MOD(ROW(C5),4)&lt;2</formula>
    </cfRule>
  </conditionalFormatting>
  <conditionalFormatting sqref="C4:K4">
    <cfRule type="expression" dxfId="88" priority="81">
      <formula>AND(ISBLANK(C4)=FALSE,MOD(ROW(),2)=0)</formula>
    </cfRule>
  </conditionalFormatting>
  <conditionalFormatting sqref="A4:B4 E4:G4">
    <cfRule type="expression" dxfId="87" priority="80">
      <formula>MOD(ROW(A7),4)&lt;2</formula>
    </cfRule>
  </conditionalFormatting>
  <conditionalFormatting sqref="A4:B4 E4:G4">
    <cfRule type="expression" dxfId="86" priority="78">
      <formula>MOD(ROW(A5),2)=0</formula>
    </cfRule>
    <cfRule type="expression" dxfId="85" priority="79">
      <formula>MOD(ROW(A5),4)&lt;2</formula>
    </cfRule>
  </conditionalFormatting>
  <conditionalFormatting sqref="L4:S4 A4:B4">
    <cfRule type="expression" dxfId="84" priority="77">
      <formula>AND(ISBLANK(A4)=FALSE,MOD(ROW(),2)=0)</formula>
    </cfRule>
  </conditionalFormatting>
  <conditionalFormatting sqref="A12:AA12 T1048568:AA1048576 G16 G20 G24 G28 G32 G36 G40 G44 G48 G52 G56 G60 G64 G68 G72 G76 G80 G84 G88 G92 G96 G100 G104 G108 G112 G116 G120 G124 G128 G132 G136 G140 G144 G148 G152 AD1048568:XFD1048576 AD12:XFD12">
    <cfRule type="expression" dxfId="83" priority="177">
      <formula>MOD(ROW(A21),2)=0</formula>
    </cfRule>
    <cfRule type="expression" dxfId="82" priority="178">
      <formula>MOD(ROW(A21),4)&lt;2</formula>
    </cfRule>
  </conditionalFormatting>
  <conditionalFormatting sqref="D16 D20 D18 A13:C20 D14:U14 E15:F20 H16:AA16 G17:G18 G21:G22 G25:G26 G29:G30 G33:G34 G37:G38 G41:G42 G45:G46 G49:G50 G53:G54 G57:G58 G61:G62 G65:G66 G69:G70 G73:G74 G77:G78 G81:G82 G85:G86 G89:G90 G93:G94 G97:G98 G101:G102 G105:G106 G109:G110 G113:G114 G117:G118 G121:G122 G125:G126 G129:G130 G133:G134 G137:G138 G141:G142 G145:G146 G149:G150 E13:G13 I15:AA15 H18:V18 I17:V17 H20:AA20 I13:U13 W13:AA14 X17:AA18 I19:AA19 V19:X20">
    <cfRule type="expression" dxfId="81" priority="76">
      <formula>MOD(ROW(A16),4)&lt;2</formula>
    </cfRule>
  </conditionalFormatting>
  <conditionalFormatting sqref="D16 D20 D18 A13:C20 D14:U14 E15:F20 H16:AA16 G17:G18 G21:G22 G25:G26 G29:G30 G33:G34 G37:G38 G41:G42 G45:G46 G49:G50 G53:G54 G57:G58 G61:G62 G65:G66 G69:G70 G73:G74 G77:G78 G81:G82 G85:G86 G89:G90 G93:G94 G97:G98 G101:G102 G105:G106 G109:G110 G113:G114 G117:G118 G121:G122 G125:G126 G129:G130 G133:G134 G137:G138 G141:G142 G145:G146 G149:G150 E13:G13 I15:AA15 H18:V18 I17:V17 H20:AA20 I13:U13 W13:AA14 X17:AA18 I19:AA19 V19:X20">
    <cfRule type="expression" dxfId="80" priority="74">
      <formula>MOD(ROW(A14),2)=0</formula>
    </cfRule>
    <cfRule type="expression" dxfId="79" priority="75">
      <formula>MOD(ROW(A14),4)&lt;2</formula>
    </cfRule>
  </conditionalFormatting>
  <conditionalFormatting sqref="D16 D20 D18 D14:S14 A13:C20 E15:F20 H16:S16 G17:G18 G21:G22 G25:G26 G29:G30 G33:G34 G37:G38 G41:G42 G45:G46 G49:G50 G53:G54 G57:G58 G61:G62 G65:G66 G69:G70 G73:G74 G77:G78 G81:G82 G85:G86 G89:G90 G93:G94 G97:G98 G101:G102 G105:G106 G109:G110 G113:G114 G117:G118 G121:G122 G125:G126 G129:G130 G133:G134 G137:G138 G141:G142 G145:G146 G149:G150 E13:G13 I13:S13 I15:S15 H18:S18 I17:S17 H20:S20 I19:S19">
    <cfRule type="expression" dxfId="78" priority="73">
      <formula>AND(ISBLANK(A13)=FALSE,MOD(ROW(),2)=0)</formula>
    </cfRule>
  </conditionalFormatting>
  <conditionalFormatting sqref="D15 D19 D13 D17">
    <cfRule type="expression" dxfId="77" priority="72">
      <formula>MOD(ROW(D16),4)&lt;2</formula>
    </cfRule>
  </conditionalFormatting>
  <conditionalFormatting sqref="D15 D19 D13 D17">
    <cfRule type="expression" dxfId="76" priority="70">
      <formula>MOD(ROW(D14),2)=0</formula>
    </cfRule>
    <cfRule type="expression" dxfId="75" priority="71">
      <formula>MOD(ROW(D14),4)&lt;2</formula>
    </cfRule>
  </conditionalFormatting>
  <conditionalFormatting sqref="D15 D19 D13 D17">
    <cfRule type="expression" dxfId="74" priority="69">
      <formula>AND(ISBLANK(D13)=FALSE,MOD(ROW(),2)=0)</formula>
    </cfRule>
  </conditionalFormatting>
  <conditionalFormatting sqref="A148:F150 H148:AA150 AD148:XFD150">
    <cfRule type="expression" dxfId="73" priority="179">
      <formula>MOD(ROW(#REF!),4)&lt;2</formula>
    </cfRule>
  </conditionalFormatting>
  <conditionalFormatting sqref="A150:F150 H150:AA150 AD150:XFD150">
    <cfRule type="expression" dxfId="72" priority="192">
      <formula>MOD(ROW(#REF!),2)=0</formula>
    </cfRule>
    <cfRule type="expression" dxfId="71" priority="193">
      <formula>MOD(ROW(#REF!),4)&lt;2</formula>
    </cfRule>
  </conditionalFormatting>
  <conditionalFormatting sqref="H11">
    <cfRule type="expression" dxfId="70" priority="68">
      <formula>MOD(ROW(H14),4)&lt;2</formula>
    </cfRule>
  </conditionalFormatting>
  <conditionalFormatting sqref="H13">
    <cfRule type="expression" dxfId="69" priority="66">
      <formula>MOD(ROW(H14),2)=0</formula>
    </cfRule>
    <cfRule type="expression" dxfId="68" priority="67">
      <formula>MOD(ROW(H14),4)&lt;2</formula>
    </cfRule>
  </conditionalFormatting>
  <conditionalFormatting sqref="H13">
    <cfRule type="expression" dxfId="67" priority="65">
      <formula>AND(ISBLANK(H13)=FALSE,MOD(ROW(),2)=0)</formula>
    </cfRule>
  </conditionalFormatting>
  <conditionalFormatting sqref="H13">
    <cfRule type="expression" dxfId="66" priority="64">
      <formula>MOD(ROW(H24),4)&lt;2</formula>
    </cfRule>
  </conditionalFormatting>
  <conditionalFormatting sqref="H13">
    <cfRule type="expression" dxfId="65" priority="63">
      <formula>MOD(ROW(H16),4)&lt;2</formula>
    </cfRule>
  </conditionalFormatting>
  <conditionalFormatting sqref="H15">
    <cfRule type="expression" dxfId="64" priority="61">
      <formula>MOD(ROW(H16),2)=0</formula>
    </cfRule>
    <cfRule type="expression" dxfId="63" priority="62">
      <formula>MOD(ROW(H16),4)&lt;2</formula>
    </cfRule>
  </conditionalFormatting>
  <conditionalFormatting sqref="H15">
    <cfRule type="expression" dxfId="62" priority="60">
      <formula>AND(ISBLANK(H15)=FALSE,MOD(ROW(),2)=0)</formula>
    </cfRule>
  </conditionalFormatting>
  <conditionalFormatting sqref="H15">
    <cfRule type="expression" dxfId="61" priority="59">
      <formula>MOD(ROW(H26),4)&lt;2</formula>
    </cfRule>
  </conditionalFormatting>
  <conditionalFormatting sqref="H15">
    <cfRule type="expression" dxfId="60" priority="58">
      <formula>MOD(ROW(H18),4)&lt;2</formula>
    </cfRule>
  </conditionalFormatting>
  <conditionalFormatting sqref="H17">
    <cfRule type="expression" dxfId="59" priority="56">
      <formula>MOD(ROW(H18),2)=0</formula>
    </cfRule>
    <cfRule type="expression" dxfId="58" priority="57">
      <formula>MOD(ROW(H18),4)&lt;2</formula>
    </cfRule>
  </conditionalFormatting>
  <conditionalFormatting sqref="H17">
    <cfRule type="expression" dxfId="57" priority="55">
      <formula>AND(ISBLANK(H17)=FALSE,MOD(ROW(),2)=0)</formula>
    </cfRule>
  </conditionalFormatting>
  <conditionalFormatting sqref="H17">
    <cfRule type="expression" dxfId="56" priority="54">
      <formula>MOD(ROW(H28),4)&lt;2</formula>
    </cfRule>
  </conditionalFormatting>
  <conditionalFormatting sqref="H17">
    <cfRule type="expression" dxfId="55" priority="53">
      <formula>MOD(ROW(H20),4)&lt;2</formula>
    </cfRule>
  </conditionalFormatting>
  <conditionalFormatting sqref="H19">
    <cfRule type="expression" dxfId="54" priority="51">
      <formula>MOD(ROW(H20),2)=0</formula>
    </cfRule>
    <cfRule type="expression" dxfId="53" priority="52">
      <formula>MOD(ROW(H20),4)&lt;2</formula>
    </cfRule>
  </conditionalFormatting>
  <conditionalFormatting sqref="H19">
    <cfRule type="expression" dxfId="52" priority="50">
      <formula>AND(ISBLANK(H19)=FALSE,MOD(ROW(),2)=0)</formula>
    </cfRule>
  </conditionalFormatting>
  <conditionalFormatting sqref="H19">
    <cfRule type="expression" dxfId="51" priority="49">
      <formula>MOD(ROW(H30),4)&lt;2</formula>
    </cfRule>
  </conditionalFormatting>
  <conditionalFormatting sqref="H19">
    <cfRule type="expression" dxfId="50" priority="48">
      <formula>MOD(ROW(H22),4)&lt;2</formula>
    </cfRule>
  </conditionalFormatting>
  <conditionalFormatting sqref="V13:V14">
    <cfRule type="expression" dxfId="49" priority="47">
      <formula>MOD(ROW(V16),4)&lt;2</formula>
    </cfRule>
  </conditionalFormatting>
  <conditionalFormatting sqref="V13:V14">
    <cfRule type="expression" dxfId="48" priority="45">
      <formula>MOD(ROW(V14),2)=0</formula>
    </cfRule>
    <cfRule type="expression" dxfId="47" priority="46">
      <formula>MOD(ROW(V14),4)&lt;2</formula>
    </cfRule>
  </conditionalFormatting>
  <conditionalFormatting sqref="W17:W18">
    <cfRule type="expression" dxfId="46" priority="44">
      <formula>MOD(ROW(W20),4)&lt;2</formula>
    </cfRule>
  </conditionalFormatting>
  <conditionalFormatting sqref="W17:W18">
    <cfRule type="expression" dxfId="45" priority="42">
      <formula>MOD(ROW(W18),2)=0</formula>
    </cfRule>
    <cfRule type="expression" dxfId="44" priority="43">
      <formula>MOD(ROW(W18),4)&lt;2</formula>
    </cfRule>
  </conditionalFormatting>
  <conditionalFormatting sqref="AC7:AC9 AC151:AC1048565 AC21:AC147">
    <cfRule type="expression" dxfId="43" priority="35">
      <formula>MOD(ROW(AC10),4)&lt;2</formula>
    </cfRule>
  </conditionalFormatting>
  <conditionalFormatting sqref="AC3 AC7:AC11 AC151:AC1048567 AC21:AC149">
    <cfRule type="expression" dxfId="42" priority="33">
      <formula>MOD(ROW(AC4),2)=0</formula>
    </cfRule>
    <cfRule type="expression" dxfId="41" priority="34">
      <formula>MOD(ROW(AC4),4)&lt;2</formula>
    </cfRule>
  </conditionalFormatting>
  <conditionalFormatting sqref="AC10:AC12 AC1048566:AC1048576">
    <cfRule type="expression" dxfId="40" priority="32">
      <formula>MOD(ROW(AC21),4)&lt;2</formula>
    </cfRule>
  </conditionalFormatting>
  <conditionalFormatting sqref="AC3">
    <cfRule type="expression" dxfId="39" priority="36">
      <formula>MOD(ROW(AC8),4)&lt;2</formula>
    </cfRule>
  </conditionalFormatting>
  <conditionalFormatting sqref="AC5:AC6">
    <cfRule type="expression" dxfId="38" priority="31">
      <formula>MOD(ROW(AC8),4)&lt;2</formula>
    </cfRule>
  </conditionalFormatting>
  <conditionalFormatting sqref="AC5:AC6">
    <cfRule type="expression" dxfId="37" priority="29">
      <formula>MOD(ROW(AC6),2)=0</formula>
    </cfRule>
    <cfRule type="expression" dxfId="36" priority="30">
      <formula>MOD(ROW(AC6),4)&lt;2</formula>
    </cfRule>
  </conditionalFormatting>
  <conditionalFormatting sqref="AC4">
    <cfRule type="expression" dxfId="35" priority="28">
      <formula>MOD(ROW(AC7),4)&lt;2</formula>
    </cfRule>
  </conditionalFormatting>
  <conditionalFormatting sqref="AC4">
    <cfRule type="expression" dxfId="34" priority="26">
      <formula>MOD(ROW(AC5),2)=0</formula>
    </cfRule>
    <cfRule type="expression" dxfId="33" priority="27">
      <formula>MOD(ROW(AC5),4)&lt;2</formula>
    </cfRule>
  </conditionalFormatting>
  <conditionalFormatting sqref="AC12 AC1048568:AC1048576">
    <cfRule type="expression" dxfId="32" priority="37">
      <formula>MOD(ROW(AC21),2)=0</formula>
    </cfRule>
    <cfRule type="expression" dxfId="31" priority="38">
      <formula>MOD(ROW(AC21),4)&lt;2</formula>
    </cfRule>
  </conditionalFormatting>
  <conditionalFormatting sqref="AC13:AC20">
    <cfRule type="expression" dxfId="30" priority="25">
      <formula>MOD(ROW(AC16),4)&lt;2</formula>
    </cfRule>
  </conditionalFormatting>
  <conditionalFormatting sqref="AC13:AC20">
    <cfRule type="expression" dxfId="29" priority="23">
      <formula>MOD(ROW(AC14),2)=0</formula>
    </cfRule>
    <cfRule type="expression" dxfId="28" priority="24">
      <formula>MOD(ROW(AC14),4)&lt;2</formula>
    </cfRule>
  </conditionalFormatting>
  <conditionalFormatting sqref="AC148:AC150">
    <cfRule type="expression" dxfId="27" priority="39">
      <formula>MOD(ROW(#REF!),4)&lt;2</formula>
    </cfRule>
  </conditionalFormatting>
  <conditionalFormatting sqref="AC150">
    <cfRule type="expression" dxfId="26" priority="40">
      <formula>MOD(ROW(#REF!),2)=0</formula>
    </cfRule>
    <cfRule type="expression" dxfId="25" priority="41">
      <formula>MOD(ROW(#REF!),4)&lt;2</formula>
    </cfRule>
  </conditionalFormatting>
  <conditionalFormatting sqref="AB7:AB9 AB151:AB1048565 AB21:AB96 AB98:AB147">
    <cfRule type="expression" dxfId="24" priority="16">
      <formula>MOD(ROW(AB10),4)&lt;2</formula>
    </cfRule>
  </conditionalFormatting>
  <conditionalFormatting sqref="AB3 AB7:AB11 AB151:AB1048567 AB21:AB96 AB98:AB149">
    <cfRule type="expression" dxfId="23" priority="14">
      <formula>MOD(ROW(AB4),2)=0</formula>
    </cfRule>
    <cfRule type="expression" dxfId="22" priority="15">
      <formula>MOD(ROW(AB4),4)&lt;2</formula>
    </cfRule>
  </conditionalFormatting>
  <conditionalFormatting sqref="AB10:AB12 AB1048566:AB1048576">
    <cfRule type="expression" dxfId="21" priority="13">
      <formula>MOD(ROW(AB21),4)&lt;2</formula>
    </cfRule>
  </conditionalFormatting>
  <conditionalFormatting sqref="AB3">
    <cfRule type="expression" dxfId="20" priority="17">
      <formula>MOD(ROW(AB8),4)&lt;2</formula>
    </cfRule>
  </conditionalFormatting>
  <conditionalFormatting sqref="AB5:AB6">
    <cfRule type="expression" dxfId="19" priority="12">
      <formula>MOD(ROW(AB8),4)&lt;2</formula>
    </cfRule>
  </conditionalFormatting>
  <conditionalFormatting sqref="AB5:AB6">
    <cfRule type="expression" dxfId="18" priority="10">
      <formula>MOD(ROW(AB6),2)=0</formula>
    </cfRule>
    <cfRule type="expression" dxfId="17" priority="11">
      <formula>MOD(ROW(AB6),4)&lt;2</formula>
    </cfRule>
  </conditionalFormatting>
  <conditionalFormatting sqref="AB4">
    <cfRule type="expression" dxfId="16" priority="9">
      <formula>MOD(ROW(AB7),4)&lt;2</formula>
    </cfRule>
  </conditionalFormatting>
  <conditionalFormatting sqref="AB4">
    <cfRule type="expression" dxfId="15" priority="7">
      <formula>MOD(ROW(AB5),2)=0</formula>
    </cfRule>
    <cfRule type="expression" dxfId="14" priority="8">
      <formula>MOD(ROW(AB5),4)&lt;2</formula>
    </cfRule>
  </conditionalFormatting>
  <conditionalFormatting sqref="AB12 AB1048568:AB1048576">
    <cfRule type="expression" dxfId="13" priority="18">
      <formula>MOD(ROW(AB21),2)=0</formula>
    </cfRule>
    <cfRule type="expression" dxfId="12" priority="19">
      <formula>MOD(ROW(AB21),4)&lt;2</formula>
    </cfRule>
  </conditionalFormatting>
  <conditionalFormatting sqref="AB13:AB20">
    <cfRule type="expression" dxfId="11" priority="6">
      <formula>MOD(ROW(AB16),4)&lt;2</formula>
    </cfRule>
  </conditionalFormatting>
  <conditionalFormatting sqref="AB13:AB20">
    <cfRule type="expression" dxfId="10" priority="4">
      <formula>MOD(ROW(AB14),2)=0</formula>
    </cfRule>
    <cfRule type="expression" dxfId="9" priority="5">
      <formula>MOD(ROW(AB14),4)&lt;2</formula>
    </cfRule>
  </conditionalFormatting>
  <conditionalFormatting sqref="AB148:AB150">
    <cfRule type="expression" dxfId="8" priority="20">
      <formula>MOD(ROW(#REF!),4)&lt;2</formula>
    </cfRule>
  </conditionalFormatting>
  <conditionalFormatting sqref="AB150">
    <cfRule type="expression" dxfId="7" priority="21">
      <formula>MOD(ROW(#REF!),2)=0</formula>
    </cfRule>
    <cfRule type="expression" dxfId="6" priority="22">
      <formula>MOD(ROW(#REF!),4)&lt;2</formula>
    </cfRule>
  </conditionalFormatting>
  <conditionalFormatting sqref="AB97">
    <cfRule type="expression" dxfId="5" priority="3">
      <formula>MOD(ROW(AB100),4)&lt;2</formula>
    </cfRule>
  </conditionalFormatting>
  <conditionalFormatting sqref="AB97">
    <cfRule type="expression" dxfId="4" priority="1">
      <formula>MOD(ROW(AB98),2)=0</formula>
    </cfRule>
    <cfRule type="expression" dxfId="3" priority="2">
      <formula>MOD(ROW(AB98),4)&lt;2</formula>
    </cfRule>
  </conditionalFormatting>
  <dataValidations count="1">
    <dataValidation type="list" allowBlank="1" showInputMessage="1" showErrorMessage="1" sqref="C3:C1048576" xr:uid="{6E12D6B3-CB1D-4754-8CC7-CF1BA94D1B96}">
      <formula1>"ability_lua,ability_item"</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4D82B0E7-AFF0-48D2-AB3E-121747E6AAAD}">
          <x14:formula1>
            <xm:f>Sheet2!$F$1:$F$5</xm:f>
          </x14:formula1>
          <xm:sqref>F1:F1048576</xm:sqref>
        </x14:dataValidation>
        <x14:dataValidation type="list" allowBlank="1" showInputMessage="1" showErrorMessage="1" xr:uid="{CDFEE0AC-0FE2-4916-B146-D13D2D07605D}">
          <x14:formula1>
            <xm:f>Sheet2!$F$6:$F$12</xm:f>
          </x14:formula1>
          <xm:sqref>R1:R1048576</xm:sqref>
        </x14:dataValidation>
        <x14:dataValidation type="list" allowBlank="1" showInputMessage="1" showErrorMessage="1" xr:uid="{B7AC9D7A-A879-49B6-A868-6ADC589F1093}">
          <x14:formula1>
            <xm:f>Sheet2!$F$13:$F$15</xm:f>
          </x14:formula1>
          <xm:sqref>S1:S1048576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013A7-0D01-4E46-9C3B-0269CB1FA99E}">
  <sheetPr codeName="Sheet2"/>
  <dimension ref="A1:M42"/>
  <sheetViews>
    <sheetView topLeftCell="B1" workbookViewId="0">
      <selection activeCell="F14" sqref="F14"/>
    </sheetView>
  </sheetViews>
  <sheetFormatPr defaultColWidth="9" defaultRowHeight="14.25" x14ac:dyDescent="0.2"/>
  <cols>
    <col min="1" max="1" width="9" style="8"/>
    <col min="2" max="2" width="11.375" style="8" bestFit="1" customWidth="1"/>
    <col min="3" max="3" width="15.375" style="8" customWidth="1"/>
    <col min="4" max="4" width="15.125" style="9" bestFit="1" customWidth="1"/>
    <col min="5" max="5" width="51" style="9" bestFit="1" customWidth="1"/>
    <col min="6" max="6" width="34.875" style="9" customWidth="1"/>
    <col min="7" max="8" width="28.625" style="8" customWidth="1"/>
    <col min="9" max="9" width="26.375" style="9" customWidth="1"/>
    <col min="10" max="10" width="16" style="9" customWidth="1"/>
    <col min="11" max="11" width="9" style="9"/>
    <col min="12" max="12" width="20.25" style="8" customWidth="1"/>
    <col min="13" max="13" width="15.25" style="8" customWidth="1"/>
    <col min="14" max="14" width="23" style="9" customWidth="1"/>
    <col min="15" max="16384" width="9" style="9"/>
  </cols>
  <sheetData>
    <row r="1" spans="1:10" s="7" customFormat="1" x14ac:dyDescent="0.2">
      <c r="A1" s="7" t="s">
        <v>7</v>
      </c>
      <c r="B1" s="7" t="s">
        <v>2</v>
      </c>
      <c r="C1" s="7" t="s">
        <v>152</v>
      </c>
      <c r="D1" s="7" t="s">
        <v>4</v>
      </c>
      <c r="E1" s="7" t="s">
        <v>1</v>
      </c>
      <c r="F1" s="7" t="s">
        <v>159</v>
      </c>
      <c r="I1" s="7" t="s">
        <v>148</v>
      </c>
      <c r="J1" s="7" t="s">
        <v>149</v>
      </c>
    </row>
    <row r="2" spans="1:10" x14ac:dyDescent="0.2">
      <c r="A2" s="8" t="s">
        <v>6</v>
      </c>
      <c r="B2" s="8" t="s">
        <v>3</v>
      </c>
      <c r="C2" s="8" t="s">
        <v>153</v>
      </c>
      <c r="D2" s="9" t="s">
        <v>105</v>
      </c>
      <c r="E2" s="9" t="s">
        <v>86</v>
      </c>
      <c r="F2" s="9" t="s">
        <v>161</v>
      </c>
      <c r="I2" s="9" t="str">
        <f>"abilities/boss/"&amp;Sheet1!A3</f>
        <v>abilities/boss/water_shield</v>
      </c>
      <c r="J2" s="9" t="s">
        <v>150</v>
      </c>
    </row>
    <row r="3" spans="1:10" x14ac:dyDescent="0.2">
      <c r="A3" s="8" t="s">
        <v>151</v>
      </c>
      <c r="B3" s="8" t="s">
        <v>147</v>
      </c>
      <c r="C3" s="8" t="s">
        <v>154</v>
      </c>
      <c r="D3" s="9" t="s">
        <v>109</v>
      </c>
      <c r="E3" s="9" t="s">
        <v>87</v>
      </c>
      <c r="F3" s="9" t="s">
        <v>162</v>
      </c>
      <c r="I3" s="9" t="s">
        <v>157</v>
      </c>
    </row>
    <row r="4" spans="1:10" x14ac:dyDescent="0.2">
      <c r="A4" s="8" t="s">
        <v>8</v>
      </c>
      <c r="B4" s="8" t="s">
        <v>9</v>
      </c>
      <c r="C4" s="8" t="s">
        <v>155</v>
      </c>
      <c r="D4" s="9" t="s">
        <v>110</v>
      </c>
      <c r="E4" s="9" t="s">
        <v>0</v>
      </c>
      <c r="F4" s="9" t="s">
        <v>163</v>
      </c>
    </row>
    <row r="5" spans="1:10" x14ac:dyDescent="0.2">
      <c r="A5" s="8" t="s">
        <v>43</v>
      </c>
      <c r="B5" s="8" t="s">
        <v>10</v>
      </c>
      <c r="C5" s="8" t="s">
        <v>156</v>
      </c>
      <c r="D5" s="9" t="s">
        <v>111</v>
      </c>
      <c r="E5" s="9" t="s">
        <v>88</v>
      </c>
      <c r="F5" s="9" t="s">
        <v>160</v>
      </c>
    </row>
    <row r="6" spans="1:10" x14ac:dyDescent="0.2">
      <c r="A6" s="8" t="s">
        <v>44</v>
      </c>
      <c r="B6" s="8" t="s">
        <v>11</v>
      </c>
      <c r="D6" s="9" t="s">
        <v>112</v>
      </c>
      <c r="E6" s="9" t="s">
        <v>5</v>
      </c>
      <c r="F6" s="7" t="s">
        <v>197</v>
      </c>
    </row>
    <row r="7" spans="1:10" x14ac:dyDescent="0.2">
      <c r="A7" s="8" t="s">
        <v>45</v>
      </c>
      <c r="B7" s="8" t="s">
        <v>12</v>
      </c>
      <c r="D7" s="9" t="s">
        <v>113</v>
      </c>
      <c r="E7" s="9" t="s">
        <v>89</v>
      </c>
      <c r="F7" s="8" t="s">
        <v>209</v>
      </c>
    </row>
    <row r="8" spans="1:10" x14ac:dyDescent="0.2">
      <c r="A8" s="8" t="s">
        <v>46</v>
      </c>
      <c r="B8" s="8" t="s">
        <v>13</v>
      </c>
      <c r="D8" s="9" t="s">
        <v>114</v>
      </c>
      <c r="E8" s="9" t="s">
        <v>90</v>
      </c>
      <c r="F8" s="8" t="s">
        <v>210</v>
      </c>
    </row>
    <row r="9" spans="1:10" x14ac:dyDescent="0.2">
      <c r="A9" s="8" t="s">
        <v>47</v>
      </c>
      <c r="B9" s="8" t="s">
        <v>14</v>
      </c>
      <c r="D9" s="9" t="s">
        <v>115</v>
      </c>
      <c r="E9" s="9" t="s">
        <v>91</v>
      </c>
      <c r="F9" s="8" t="s">
        <v>207</v>
      </c>
    </row>
    <row r="10" spans="1:10" x14ac:dyDescent="0.2">
      <c r="A10" s="8" t="s">
        <v>48</v>
      </c>
      <c r="B10" s="8" t="s">
        <v>15</v>
      </c>
      <c r="D10" s="9" t="s">
        <v>116</v>
      </c>
      <c r="E10" s="9" t="s">
        <v>158</v>
      </c>
      <c r="F10" s="8" t="s">
        <v>211</v>
      </c>
    </row>
    <row r="11" spans="1:10" x14ac:dyDescent="0.2">
      <c r="A11" s="8" t="s">
        <v>49</v>
      </c>
      <c r="B11" s="8" t="s">
        <v>16</v>
      </c>
      <c r="D11" s="9" t="s">
        <v>117</v>
      </c>
      <c r="E11" s="9" t="s">
        <v>92</v>
      </c>
      <c r="F11" s="8" t="s">
        <v>208</v>
      </c>
    </row>
    <row r="12" spans="1:10" x14ac:dyDescent="0.2">
      <c r="A12" s="8" t="s">
        <v>50</v>
      </c>
      <c r="B12" s="8" t="s">
        <v>17</v>
      </c>
      <c r="D12" s="9" t="s">
        <v>118</v>
      </c>
      <c r="E12" s="9" t="s">
        <v>93</v>
      </c>
      <c r="F12" s="8" t="s">
        <v>212</v>
      </c>
    </row>
    <row r="13" spans="1:10" x14ac:dyDescent="0.2">
      <c r="A13" s="8" t="s">
        <v>51</v>
      </c>
      <c r="B13" s="8" t="s">
        <v>18</v>
      </c>
      <c r="D13" s="9" t="s">
        <v>139</v>
      </c>
      <c r="E13" s="9" t="s">
        <v>138</v>
      </c>
      <c r="F13" s="7" t="s">
        <v>213</v>
      </c>
    </row>
    <row r="14" spans="1:10" x14ac:dyDescent="0.2">
      <c r="A14" s="8" t="s">
        <v>52</v>
      </c>
      <c r="B14" s="8" t="s">
        <v>19</v>
      </c>
      <c r="D14" s="9" t="s">
        <v>119</v>
      </c>
      <c r="E14" s="9" t="s">
        <v>94</v>
      </c>
      <c r="F14" s="8" t="s">
        <v>214</v>
      </c>
    </row>
    <row r="15" spans="1:10" x14ac:dyDescent="0.2">
      <c r="A15" s="8" t="s">
        <v>53</v>
      </c>
      <c r="B15" s="8" t="s">
        <v>21</v>
      </c>
      <c r="D15" s="9" t="s">
        <v>120</v>
      </c>
      <c r="E15" s="9" t="s">
        <v>95</v>
      </c>
      <c r="F15" s="8" t="s">
        <v>215</v>
      </c>
    </row>
    <row r="16" spans="1:10" x14ac:dyDescent="0.2">
      <c r="A16" s="8" t="s">
        <v>54</v>
      </c>
      <c r="B16" s="8" t="s">
        <v>69</v>
      </c>
      <c r="D16" s="9" t="s">
        <v>121</v>
      </c>
      <c r="E16" s="9" t="s">
        <v>140</v>
      </c>
    </row>
    <row r="17" spans="1:5" x14ac:dyDescent="0.2">
      <c r="A17" s="8" t="s">
        <v>55</v>
      </c>
      <c r="B17" s="8" t="s">
        <v>22</v>
      </c>
      <c r="D17" s="9" t="s">
        <v>122</v>
      </c>
      <c r="E17" s="9" t="s">
        <v>141</v>
      </c>
    </row>
    <row r="18" spans="1:5" x14ac:dyDescent="0.2">
      <c r="A18" s="8" t="s">
        <v>56</v>
      </c>
      <c r="B18" s="8" t="s">
        <v>23</v>
      </c>
      <c r="D18" s="9" t="s">
        <v>123</v>
      </c>
      <c r="E18" s="9" t="s">
        <v>142</v>
      </c>
    </row>
    <row r="19" spans="1:5" x14ac:dyDescent="0.2">
      <c r="A19" s="8" t="s">
        <v>57</v>
      </c>
      <c r="B19" s="8" t="s">
        <v>24</v>
      </c>
      <c r="D19" s="9" t="s">
        <v>124</v>
      </c>
      <c r="E19" s="9" t="s">
        <v>96</v>
      </c>
    </row>
    <row r="20" spans="1:5" x14ac:dyDescent="0.2">
      <c r="A20" s="8" t="s">
        <v>58</v>
      </c>
      <c r="B20" s="8" t="s">
        <v>25</v>
      </c>
      <c r="D20" s="9" t="s">
        <v>125</v>
      </c>
      <c r="E20" s="9" t="s">
        <v>97</v>
      </c>
    </row>
    <row r="21" spans="1:5" x14ac:dyDescent="0.2">
      <c r="A21" s="8" t="s">
        <v>59</v>
      </c>
      <c r="B21" s="8" t="s">
        <v>26</v>
      </c>
      <c r="D21" s="9" t="s">
        <v>126</v>
      </c>
      <c r="E21" s="9" t="s">
        <v>106</v>
      </c>
    </row>
    <row r="22" spans="1:5" x14ac:dyDescent="0.2">
      <c r="A22" s="8" t="s">
        <v>60</v>
      </c>
      <c r="B22" s="8" t="s">
        <v>27</v>
      </c>
      <c r="D22" s="9" t="s">
        <v>127</v>
      </c>
      <c r="E22" s="9" t="s">
        <v>143</v>
      </c>
    </row>
    <row r="23" spans="1:5" x14ac:dyDescent="0.2">
      <c r="A23" s="8" t="s">
        <v>61</v>
      </c>
      <c r="B23" s="8" t="s">
        <v>28</v>
      </c>
      <c r="D23" s="9" t="s">
        <v>128</v>
      </c>
      <c r="E23" s="9" t="s">
        <v>144</v>
      </c>
    </row>
    <row r="24" spans="1:5" x14ac:dyDescent="0.2">
      <c r="A24" s="8" t="s">
        <v>62</v>
      </c>
      <c r="B24" s="8" t="s">
        <v>29</v>
      </c>
      <c r="D24" s="9" t="s">
        <v>145</v>
      </c>
      <c r="E24" s="9" t="s">
        <v>107</v>
      </c>
    </row>
    <row r="25" spans="1:5" x14ac:dyDescent="0.2">
      <c r="A25" s="8" t="s">
        <v>63</v>
      </c>
      <c r="B25" s="8" t="s">
        <v>30</v>
      </c>
      <c r="D25" s="9" t="s">
        <v>129</v>
      </c>
      <c r="E25" s="9" t="s">
        <v>98</v>
      </c>
    </row>
    <row r="26" spans="1:5" x14ac:dyDescent="0.2">
      <c r="A26" s="8" t="s">
        <v>64</v>
      </c>
      <c r="B26" s="8" t="s">
        <v>31</v>
      </c>
      <c r="D26" s="9" t="s">
        <v>130</v>
      </c>
      <c r="E26" s="9" t="s">
        <v>146</v>
      </c>
    </row>
    <row r="27" spans="1:5" x14ac:dyDescent="0.2">
      <c r="A27" s="8" t="s">
        <v>65</v>
      </c>
      <c r="B27" s="8" t="s">
        <v>20</v>
      </c>
      <c r="D27" s="9" t="s">
        <v>131</v>
      </c>
      <c r="E27" s="9" t="s">
        <v>108</v>
      </c>
    </row>
    <row r="28" spans="1:5" x14ac:dyDescent="0.2">
      <c r="A28" s="8" t="s">
        <v>66</v>
      </c>
      <c r="B28" s="8" t="s">
        <v>32</v>
      </c>
      <c r="D28" s="9" t="s">
        <v>132</v>
      </c>
      <c r="E28" s="9" t="s">
        <v>99</v>
      </c>
    </row>
    <row r="29" spans="1:5" x14ac:dyDescent="0.2">
      <c r="A29" s="8" t="s">
        <v>67</v>
      </c>
      <c r="B29" s="8" t="s">
        <v>33</v>
      </c>
      <c r="D29" s="9" t="s">
        <v>133</v>
      </c>
      <c r="E29" s="9" t="s">
        <v>100</v>
      </c>
    </row>
    <row r="30" spans="1:5" x14ac:dyDescent="0.2">
      <c r="A30" s="8" t="s">
        <v>73</v>
      </c>
      <c r="B30" s="8" t="s">
        <v>68</v>
      </c>
      <c r="D30" s="9" t="s">
        <v>134</v>
      </c>
      <c r="E30" s="9" t="s">
        <v>101</v>
      </c>
    </row>
    <row r="31" spans="1:5" x14ac:dyDescent="0.2">
      <c r="A31" s="8" t="s">
        <v>74</v>
      </c>
      <c r="B31" s="8" t="s">
        <v>70</v>
      </c>
      <c r="D31" s="9" t="s">
        <v>135</v>
      </c>
      <c r="E31" s="9" t="s">
        <v>102</v>
      </c>
    </row>
    <row r="32" spans="1:5" x14ac:dyDescent="0.2">
      <c r="A32" s="8" t="s">
        <v>75</v>
      </c>
      <c r="B32" s="8" t="s">
        <v>71</v>
      </c>
      <c r="D32" s="9" t="s">
        <v>136</v>
      </c>
      <c r="E32" s="9" t="s">
        <v>103</v>
      </c>
    </row>
    <row r="33" spans="1:5" x14ac:dyDescent="0.2">
      <c r="A33" s="8" t="s">
        <v>76</v>
      </c>
      <c r="B33" s="8" t="s">
        <v>72</v>
      </c>
      <c r="D33" s="9" t="s">
        <v>137</v>
      </c>
      <c r="E33" s="9" t="s">
        <v>104</v>
      </c>
    </row>
    <row r="34" spans="1:5" x14ac:dyDescent="0.2">
      <c r="A34" s="8" t="s">
        <v>77</v>
      </c>
      <c r="B34" s="8" t="s">
        <v>34</v>
      </c>
    </row>
    <row r="35" spans="1:5" x14ac:dyDescent="0.2">
      <c r="A35" s="8" t="s">
        <v>78</v>
      </c>
      <c r="B35" s="8" t="s">
        <v>35</v>
      </c>
    </row>
    <row r="36" spans="1:5" x14ac:dyDescent="0.2">
      <c r="A36" s="8" t="s">
        <v>79</v>
      </c>
      <c r="B36" s="8" t="s">
        <v>36</v>
      </c>
    </row>
    <row r="37" spans="1:5" x14ac:dyDescent="0.2">
      <c r="A37" s="8" t="s">
        <v>80</v>
      </c>
      <c r="B37" s="8" t="s">
        <v>37</v>
      </c>
    </row>
    <row r="38" spans="1:5" x14ac:dyDescent="0.2">
      <c r="A38" s="8" t="s">
        <v>81</v>
      </c>
      <c r="B38" s="8" t="s">
        <v>38</v>
      </c>
    </row>
    <row r="39" spans="1:5" x14ac:dyDescent="0.2">
      <c r="A39" s="8" t="s">
        <v>82</v>
      </c>
      <c r="B39" s="8" t="s">
        <v>39</v>
      </c>
    </row>
    <row r="40" spans="1:5" x14ac:dyDescent="0.2">
      <c r="A40" s="8" t="s">
        <v>83</v>
      </c>
      <c r="B40" s="8" t="s">
        <v>40</v>
      </c>
    </row>
    <row r="41" spans="1:5" x14ac:dyDescent="0.2">
      <c r="A41" s="8" t="s">
        <v>84</v>
      </c>
      <c r="B41" s="8" t="s">
        <v>41</v>
      </c>
    </row>
    <row r="42" spans="1:5" x14ac:dyDescent="0.2">
      <c r="A42" s="8" t="s">
        <v>85</v>
      </c>
      <c r="B42" s="8" t="s">
        <v>42</v>
      </c>
    </row>
  </sheetData>
  <dataConsolidate/>
  <phoneticPr fontId="1" type="noConversion"/>
  <conditionalFormatting sqref="B44:C1048576">
    <cfRule type="duplicateValues" dxfId="2" priority="16"/>
  </conditionalFormatting>
  <conditionalFormatting sqref="B1:C42">
    <cfRule type="duplicateValues" dxfId="1" priority="3"/>
  </conditionalFormatting>
  <conditionalFormatting sqref="B43:C43">
    <cfRule type="duplicateValues" dxfId="0" priority="1"/>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5C8AE49-7E92-4E43-AA2A-E7A2BB6EAA7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XueQiu Wu</dc:creator>
  <cp:lastModifiedBy>wan</cp:lastModifiedBy>
  <dcterms:created xsi:type="dcterms:W3CDTF">2015-06-05T18:19:34Z</dcterms:created>
  <dcterms:modified xsi:type="dcterms:W3CDTF">2020-05-10T12:59:19Z</dcterms:modified>
</cp:coreProperties>
</file>