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3.kv配置表\abilities\"/>
    </mc:Choice>
  </mc:AlternateContent>
  <xr:revisionPtr revIDLastSave="0" documentId="13_ncr:1_{DA3C6FA9-74A0-4680-AD3F-1F22261A28FB}" xr6:coauthVersionLast="44" xr6:coauthVersionMax="45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Sheet1!$A$1:$AA$48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65" i="1" l="1"/>
  <c r="D163" i="1" l="1"/>
  <c r="D161" i="1"/>
  <c r="D159" i="1" l="1"/>
  <c r="D157" i="1" l="1"/>
  <c r="D155" i="1" l="1"/>
  <c r="D41" i="1" l="1"/>
  <c r="D153" i="1"/>
  <c r="D17" i="1" l="1"/>
  <c r="D15" i="1"/>
  <c r="D13" i="1"/>
  <c r="D5" i="1"/>
  <c r="D3" i="1" l="1"/>
  <c r="D9" i="1"/>
  <c r="D11" i="1"/>
  <c r="D19" i="1"/>
  <c r="D21" i="1"/>
  <c r="D23" i="1"/>
  <c r="D25" i="1"/>
  <c r="D27" i="1"/>
  <c r="D29" i="1"/>
  <c r="D31" i="1"/>
  <c r="D33" i="1"/>
  <c r="D35" i="1"/>
  <c r="D37" i="1"/>
  <c r="D39" i="1"/>
  <c r="D43" i="1"/>
  <c r="D45" i="1"/>
  <c r="D47" i="1"/>
  <c r="D49" i="1"/>
  <c r="D51" i="1"/>
  <c r="D53" i="1"/>
  <c r="D55" i="1"/>
  <c r="D57" i="1"/>
  <c r="D59" i="1"/>
  <c r="D61" i="1"/>
  <c r="D63" i="1"/>
  <c r="D65" i="1"/>
  <c r="D67" i="1"/>
  <c r="D69" i="1"/>
  <c r="D71" i="1"/>
  <c r="D73" i="1"/>
  <c r="D75" i="1"/>
  <c r="D77" i="1"/>
  <c r="D79" i="1"/>
  <c r="D81" i="1"/>
  <c r="D83" i="1"/>
  <c r="D85" i="1"/>
  <c r="D87" i="1"/>
  <c r="D89" i="1"/>
  <c r="D91" i="1"/>
  <c r="D93" i="1"/>
  <c r="D95" i="1"/>
  <c r="D97" i="1"/>
  <c r="D99" i="1"/>
  <c r="D101" i="1"/>
  <c r="D103" i="1"/>
  <c r="D105" i="1"/>
  <c r="D107" i="1"/>
  <c r="D109" i="1"/>
  <c r="D111" i="1"/>
  <c r="D113" i="1"/>
  <c r="D115" i="1"/>
  <c r="D117" i="1"/>
  <c r="D119" i="1"/>
  <c r="D121" i="1"/>
  <c r="D123" i="1"/>
  <c r="D125" i="1"/>
  <c r="D127" i="1"/>
  <c r="D129" i="1"/>
  <c r="D131" i="1"/>
  <c r="D133" i="1"/>
  <c r="D135" i="1"/>
  <c r="D137" i="1"/>
  <c r="D139" i="1"/>
  <c r="D141" i="1"/>
  <c r="D143" i="1"/>
  <c r="D145" i="1"/>
  <c r="D147" i="1"/>
  <c r="D149" i="1"/>
  <c r="D151" i="1"/>
  <c r="D7" i="1"/>
  <c r="I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<sst xmlns="http://schemas.openxmlformats.org/spreadsheetml/2006/main" count="1171" uniqueCount="616">
  <si>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</si>
  <si>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</si>
  <si>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</si>
  <si>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</si>
  <si>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</si>
  <si>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</si>
  <si>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</si>
  <si>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</si>
  <si>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</si>
  <si>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</si>
  <si>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</si>
  <si>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</si>
  <si>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</si>
  <si>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</si>
  <si>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</si>
  <si>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</si>
  <si>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</si>
  <si>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</si>
  <si>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</si>
  <si>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</si>
  <si>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</si>
  <si>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</si>
  <si>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</si>
  <si>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</si>
  <si>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</si>
  <si>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</si>
  <si>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</si>
  <si>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</si>
  <si>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</si>
  <si>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</si>
  <si>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</si>
  <si>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</si>
  <si>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</si>
  <si>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</si>
  <si>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</si>
  <si>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</si>
  <si>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</si>
  <si>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</si>
  <si>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</si>
  <si>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</si>
  <si>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</si>
  <si>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</si>
  <si>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</si>
  <si>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</si>
  <si>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</si>
  <si>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</si>
  <si>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</si>
  <si>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</si>
  <si>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</si>
  <si>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</si>
  <si>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</si>
  <si>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</si>
  <si>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</si>
  <si>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</si>
  <si>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</si>
  <si>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</si>
  <si>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</si>
  <si>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</si>
  <si>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</si>
  <si>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</si>
  <si>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</si>
  <si>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</si>
  <si>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</si>
  <si>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</si>
  <si>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</si>
  <si>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</si>
  <si>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</si>
  <si>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</si>
  <si>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</si>
  <si>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</si>
  <si>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</si>
  <si>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</si>
  <si>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</si>
  <si>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</si>
  <si>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</si>
  <si>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</si>
  <si>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</si>
  <si>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</si>
  <si>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</si>
  <si>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</si>
  <si>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</si>
  <si>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</si>
  <si>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</si>
  <si>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</si>
  <si>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</si>
  <si>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</si>
  <si>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</si>
  <si>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</si>
  <si>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</si>
  <si>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</si>
  <si>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</si>
  <si>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</si>
  <si>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</si>
  <si>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DOTA_ABILITY_BEHAVIOR_TOGGLE</t>
  </si>
  <si>
    <t>DOTA_ABILITY_BEHAVIOR_IMMEDIATE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</si>
  <si>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</si>
  <si>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</si>
  <si>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</si>
  <si>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</si>
  <si>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</si>
  <si>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</si>
  <si>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</si>
  <si>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</si>
  <si>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</si>
  <si>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</si>
  <si>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</si>
  <si>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</si>
  <si>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</si>
  <si>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</si>
  <si>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</si>
  <si>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</si>
  <si>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</si>
  <si>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</si>
  <si>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</si>
  <si>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</si>
  <si>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</si>
  <si>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</si>
  <si>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</si>
  <si>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</si>
  <si>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</si>
  <si>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</si>
  <si>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</si>
  <si>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</si>
  <si>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</si>
  <si>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</si>
  <si>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</si>
  <si>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</si>
  <si>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</si>
  <si>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</si>
  <si>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</si>
  <si>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</si>
  <si>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</si>
  <si>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</si>
  <si>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</si>
  <si>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</si>
  <si>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</si>
  <si>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</si>
  <si>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</si>
  <si>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</si>
  <si>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</si>
  <si>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</si>
  <si>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</si>
  <si>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</si>
  <si>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</si>
  <si>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</si>
  <si>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</si>
  <si>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</si>
  <si>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</si>
  <si>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</si>
  <si>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</si>
  <si>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</si>
  <si>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</si>
  <si>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</si>
  <si>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</si>
  <si>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</si>
  <si>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</si>
  <si>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</si>
  <si>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</si>
  <si>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</si>
  <si>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</si>
  <si>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</si>
  <si>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</si>
  <si>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</si>
  <si>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</si>
  <si>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</si>
  <si>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</si>
  <si>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</si>
  <si>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</si>
  <si>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</si>
  <si>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</si>
  <si>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</si>
  <si>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</si>
  <si>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</si>
  <si>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冷却时间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</si>
  <si>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</si>
  <si>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</si>
  <si>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</si>
  <si>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</si>
  <si>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</si>
  <si>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</si>
  <si>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</si>
  <si>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</si>
  <si>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</si>
  <si>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</si>
  <si>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</si>
  <si>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</si>
  <si>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</si>
  <si>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</si>
  <si>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</si>
  <si>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</si>
  <si>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AbilityCooldown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</si>
  <si>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</si>
  <si>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</si>
  <si>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</si>
  <si>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</si>
  <si>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</si>
  <si>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</si>
  <si>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</si>
  <si>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</si>
  <si>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</si>
  <si>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</si>
  <si>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stun_duration</t>
    <phoneticPr fontId="1" type="noConversion"/>
  </si>
  <si>
    <t>radius</t>
    <phoneticPr fontId="1" type="noConversion"/>
  </si>
  <si>
    <t>ACT_DOTA_CAST_ABILITY_2</t>
    <phoneticPr fontId="1" type="noConversion"/>
  </si>
  <si>
    <t>damage</t>
    <phoneticPr fontId="1" type="noConversion"/>
  </si>
  <si>
    <t>DAMAGE_TYPE_MAGICAL</t>
  </si>
  <si>
    <t>DAMAGE_TYPE_PHYSICAL</t>
  </si>
  <si>
    <t>DAMAGE_TYPE_ALL</t>
  </si>
  <si>
    <t>DAMAGE_TYPE_HP_REMOVAL</t>
  </si>
  <si>
    <t>DAMAGE_TYPE_NONE</t>
  </si>
  <si>
    <t>DAMAGE_TYPE_PURE</t>
  </si>
  <si>
    <t>SpellImmunityType</t>
  </si>
  <si>
    <t>SPELL_IMMUNITY_ENEMIES_NO</t>
  </si>
  <si>
    <t>SPELL_IMMUNITY_ENEMIES_YES</t>
    <phoneticPr fontId="1" type="noConversion"/>
  </si>
  <si>
    <t>ACT_DOTA_CAST_ABILITY_1</t>
    <phoneticPr fontId="1" type="noConversion"/>
  </si>
  <si>
    <t>DAMAGE_TYPE_PHYSICAL</t>
    <phoneticPr fontId="1" type="noConversion"/>
  </si>
  <si>
    <t>water_damage</t>
    <phoneticPr fontId="1" type="noConversion"/>
  </si>
  <si>
    <t>force_rush</t>
    <phoneticPr fontId="1" type="noConversion"/>
  </si>
  <si>
    <t>courage</t>
    <phoneticPr fontId="1" type="noConversion"/>
  </si>
  <si>
    <t>life_absorb</t>
    <phoneticPr fontId="1" type="noConversion"/>
  </si>
  <si>
    <t>wolf_critical</t>
    <phoneticPr fontId="1" type="noConversion"/>
  </si>
  <si>
    <t>wolf_wound</t>
    <phoneticPr fontId="1" type="noConversion"/>
  </si>
  <si>
    <t>wolf_invisible</t>
    <phoneticPr fontId="1" type="noConversion"/>
  </si>
  <si>
    <t>jugg_attack</t>
    <phoneticPr fontId="1" type="noConversion"/>
  </si>
  <si>
    <t>bomb_suicide</t>
    <phoneticPr fontId="1" type="noConversion"/>
  </si>
  <si>
    <t>soul_tremble</t>
    <phoneticPr fontId="1" type="noConversion"/>
  </si>
  <si>
    <t>soul_hurt</t>
    <phoneticPr fontId="1" type="noConversion"/>
  </si>
  <si>
    <t>poison_sting</t>
    <phoneticPr fontId="1" type="noConversion"/>
  </si>
  <si>
    <t>fuhuosishi</t>
    <phoneticPr fontId="1" type="noConversion"/>
  </si>
  <si>
    <t>roshan_stun</t>
    <phoneticPr fontId="1" type="noConversion"/>
  </si>
  <si>
    <t>slardar_stun</t>
    <phoneticPr fontId="1" type="noConversion"/>
  </si>
  <si>
    <t>slardar_crush</t>
    <phoneticPr fontId="1" type="noConversion"/>
  </si>
  <si>
    <t>slardar_run</t>
    <phoneticPr fontId="1" type="noConversion"/>
  </si>
  <si>
    <t>roshan_strike</t>
    <phoneticPr fontId="1" type="noConversion"/>
  </si>
  <si>
    <t>roshan_shock</t>
    <phoneticPr fontId="1" type="noConversion"/>
  </si>
  <si>
    <t>mubei</t>
    <phoneticPr fontId="1" type="noConversion"/>
  </si>
  <si>
    <t>shiwangchouxue</t>
    <phoneticPr fontId="1" type="noConversion"/>
  </si>
  <si>
    <t>fulan</t>
    <phoneticPr fontId="1" type="noConversion"/>
  </si>
  <si>
    <t>boss_clear</t>
    <phoneticPr fontId="1" type="noConversion"/>
  </si>
  <si>
    <t>boss_blink</t>
    <phoneticPr fontId="1" type="noConversion"/>
  </si>
  <si>
    <t>angry_water</t>
    <phoneticPr fontId="1" type="noConversion"/>
  </si>
  <si>
    <t>water_ravage</t>
    <phoneticPr fontId="1" type="noConversion"/>
  </si>
  <si>
    <t>water_blade</t>
    <phoneticPr fontId="1" type="noConversion"/>
  </si>
  <si>
    <t>lightning_attack</t>
    <phoneticPr fontId="1" type="noConversion"/>
  </si>
  <si>
    <t>lightning_crash</t>
    <phoneticPr fontId="1" type="noConversion"/>
  </si>
  <si>
    <t>thunder_wrath</t>
    <phoneticPr fontId="1" type="noConversion"/>
  </si>
  <si>
    <t>god_body</t>
    <phoneticPr fontId="1" type="noConversion"/>
  </si>
  <si>
    <t>electrostatic_field</t>
    <phoneticPr fontId="1" type="noConversion"/>
  </si>
  <si>
    <t>thunder_cloud</t>
    <phoneticPr fontId="1" type="noConversion"/>
  </si>
  <si>
    <t>golem_skin</t>
    <phoneticPr fontId="1" type="noConversion"/>
  </si>
  <si>
    <t>golem_spilt</t>
    <phoneticPr fontId="1" type="noConversion"/>
  </si>
  <si>
    <t>scream_of_pain</t>
    <phoneticPr fontId="1" type="noConversion"/>
  </si>
  <si>
    <t>queen_split</t>
    <phoneticPr fontId="1" type="noConversion"/>
  </si>
  <si>
    <t>shadow_strike</t>
    <phoneticPr fontId="1" type="noConversion"/>
  </si>
  <si>
    <t>great_cleave</t>
    <phoneticPr fontId="1" type="noConversion"/>
  </si>
  <si>
    <t>shock_wave</t>
    <phoneticPr fontId="1" type="noConversion"/>
  </si>
  <si>
    <t>earthshake</t>
    <phoneticPr fontId="1" type="noConversion"/>
  </si>
  <si>
    <t>enchant_totem</t>
    <phoneticPr fontId="1" type="noConversion"/>
  </si>
  <si>
    <t>mana_purge</t>
    <phoneticPr fontId="1" type="noConversion"/>
  </si>
  <si>
    <t>storm_bolt</t>
    <phoneticPr fontId="1" type="noConversion"/>
  </si>
  <si>
    <t>gush</t>
    <phoneticPr fontId="1" type="noConversion"/>
  </si>
  <si>
    <t>anchor_smash</t>
    <phoneticPr fontId="1" type="noConversion"/>
  </si>
  <si>
    <t>warcry</t>
    <phoneticPr fontId="1" type="noConversion"/>
  </si>
  <si>
    <t>gods_strength</t>
    <phoneticPr fontId="1" type="noConversion"/>
  </si>
  <si>
    <t>hunt</t>
    <phoneticPr fontId="1" type="noConversion"/>
  </si>
  <si>
    <t>howl</t>
    <phoneticPr fontId="1" type="noConversion"/>
  </si>
  <si>
    <t>slience</t>
    <phoneticPr fontId="1" type="noConversion"/>
  </si>
  <si>
    <t>morphling_morph_replicate</t>
    <phoneticPr fontId="1" type="noConversion"/>
  </si>
  <si>
    <t>wisp_tether</t>
    <phoneticPr fontId="1" type="noConversion"/>
  </si>
  <si>
    <t>shadow_shaman_voodoo</t>
    <phoneticPr fontId="1" type="noConversion"/>
  </si>
  <si>
    <t>legion_commander_press_the_attack</t>
    <phoneticPr fontId="1" type="noConversion"/>
  </si>
  <si>
    <t>legion_commander_moment_of_courage</t>
    <phoneticPr fontId="1" type="noConversion"/>
  </si>
  <si>
    <t>death_prophet_spirit_siphon</t>
    <phoneticPr fontId="1" type="noConversion"/>
  </si>
  <si>
    <t>lycan_summon_wolves_critical_strike</t>
    <phoneticPr fontId="1" type="noConversion"/>
  </si>
  <si>
    <t>ursa_fury_swipes</t>
    <phoneticPr fontId="1" type="noConversion"/>
  </si>
  <si>
    <t>lycan_summon_wolves_invisibility</t>
    <phoneticPr fontId="1" type="noConversion"/>
  </si>
  <si>
    <t>juggernaut_omni_slash</t>
    <phoneticPr fontId="1" type="noConversion"/>
  </si>
  <si>
    <t>techies_suicide</t>
    <phoneticPr fontId="1" type="noConversion"/>
  </si>
  <si>
    <t>bane_enfeeble</t>
    <phoneticPr fontId="1" type="noConversion"/>
  </si>
  <si>
    <t>bane_brain_sap</t>
    <phoneticPr fontId="1" type="noConversion"/>
  </si>
  <si>
    <t>furion_wrath_of_nature</t>
    <phoneticPr fontId="1" type="noConversion"/>
  </si>
  <si>
    <t>necronomicon_warrior_mana_burn</t>
    <phoneticPr fontId="1" type="noConversion"/>
  </si>
  <si>
    <t>necronomicon_warrior_sight</t>
    <phoneticPr fontId="1" type="noConversion"/>
  </si>
  <si>
    <t>necronomicon_warrior_last_will</t>
    <phoneticPr fontId="1" type="noConversion"/>
  </si>
  <si>
    <t>terrorblade_metamorphosis_alt1</t>
    <phoneticPr fontId="1" type="noConversion"/>
  </si>
  <si>
    <t>terrorblade_sunder_alt1</t>
    <phoneticPr fontId="1" type="noConversion"/>
  </si>
  <si>
    <t>antimage_mana_break</t>
    <phoneticPr fontId="1" type="noConversion"/>
  </si>
  <si>
    <t>tidehunter_gush</t>
    <phoneticPr fontId="1" type="noConversion"/>
  </si>
  <si>
    <t>naga_siren_song_of_the_siren</t>
    <phoneticPr fontId="1" type="noConversion"/>
  </si>
  <si>
    <t>venomancer_poison_sting</t>
    <phoneticPr fontId="1" type="noConversion"/>
  </si>
  <si>
    <t>dark_troll_warlord_raise_dead</t>
    <phoneticPr fontId="1" type="noConversion"/>
  </si>
  <si>
    <t>nyx_assassin_mana_burn</t>
    <phoneticPr fontId="1" type="noConversion"/>
  </si>
  <si>
    <t>roshan_bash</t>
    <phoneticPr fontId="1" type="noConversion"/>
  </si>
  <si>
    <t>slardar_bash</t>
    <phoneticPr fontId="1" type="noConversion"/>
  </si>
  <si>
    <t>slardar_slithereen_crush</t>
    <phoneticPr fontId="1" type="noConversion"/>
  </si>
  <si>
    <t>slardar_sprint</t>
    <phoneticPr fontId="1" type="noConversion"/>
  </si>
  <si>
    <t>roshan_slam</t>
    <phoneticPr fontId="1" type="noConversion"/>
  </si>
  <si>
    <t>roshan_halloween_angry</t>
    <phoneticPr fontId="1" type="noConversion"/>
  </si>
  <si>
    <t>undying_tombstone_alt</t>
    <phoneticPr fontId="1" type="noConversion"/>
  </si>
  <si>
    <t>undying_decay</t>
    <phoneticPr fontId="1" type="noConversion"/>
  </si>
  <si>
    <t>greevil_rot</t>
    <phoneticPr fontId="1" type="noConversion"/>
  </si>
  <si>
    <t>necrolyte_heartstopper_aura</t>
    <phoneticPr fontId="1" type="noConversion"/>
  </si>
  <si>
    <t>chen_test_of_faith_teleport</t>
    <phoneticPr fontId="1" type="noConversion"/>
  </si>
  <si>
    <t>abyssal_underlord_dark_rift</t>
    <phoneticPr fontId="1" type="noConversion"/>
  </si>
  <si>
    <t>necrolyte_death_pulse</t>
    <phoneticPr fontId="1" type="noConversion"/>
  </si>
  <si>
    <t>necrolyte_sadist</t>
    <phoneticPr fontId="1" type="noConversion"/>
  </si>
  <si>
    <t>necrolyte_reapers_scythe</t>
    <phoneticPr fontId="1" type="noConversion"/>
  </si>
  <si>
    <t>kunkka_torrent</t>
    <phoneticPr fontId="1" type="noConversion"/>
  </si>
  <si>
    <t>tidehunter_ravage</t>
    <phoneticPr fontId="1" type="noConversion"/>
  </si>
  <si>
    <t>kunkka_divine_anchor_tidebringer</t>
    <phoneticPr fontId="1" type="noConversion"/>
  </si>
  <si>
    <t>zuus_arc_lightning</t>
    <phoneticPr fontId="1" type="noConversion"/>
  </si>
  <si>
    <t>zuus_lightning_bolt</t>
    <phoneticPr fontId="1" type="noConversion"/>
  </si>
  <si>
    <t>zuus_thundergods_wrath_alt1</t>
    <phoneticPr fontId="1" type="noConversion"/>
  </si>
  <si>
    <t>zuus_static_field_alt1</t>
    <phoneticPr fontId="1" type="noConversion"/>
  </si>
  <si>
    <t>zuus_static_field</t>
    <phoneticPr fontId="1" type="noConversion"/>
  </si>
  <si>
    <t>zuus_lightning_bolt_immortal</t>
    <phoneticPr fontId="1" type="noConversion"/>
  </si>
  <si>
    <t>modifier_magicimmune</t>
    <phoneticPr fontId="1" type="noConversion"/>
  </si>
  <si>
    <t>mud_golem_rock_destroy</t>
    <phoneticPr fontId="1" type="noConversion"/>
  </si>
  <si>
    <t>queenofpain_scream_of_pain</t>
    <phoneticPr fontId="1" type="noConversion"/>
  </si>
  <si>
    <t>queenofpain_sanguine_blink</t>
    <phoneticPr fontId="1" type="noConversion"/>
  </si>
  <si>
    <t>queenofpain_sanguine_shadow_strike</t>
    <phoneticPr fontId="1" type="noConversion"/>
  </si>
  <si>
    <t>sven_great_cleave</t>
    <phoneticPr fontId="1" type="noConversion"/>
  </si>
  <si>
    <t>earthshaker_echo_slam</t>
    <phoneticPr fontId="1" type="noConversion"/>
  </si>
  <si>
    <t>earthshaker_aftershock_egset</t>
    <phoneticPr fontId="1" type="noConversion"/>
  </si>
  <si>
    <t>earthshaker_enchant_totem</t>
    <phoneticPr fontId="1" type="noConversion"/>
  </si>
  <si>
    <t>necronomicon_archer_mana_burn</t>
    <phoneticPr fontId="1" type="noConversion"/>
  </si>
  <si>
    <t>sven_storm_bolt</t>
    <phoneticPr fontId="1" type="noConversion"/>
  </si>
  <si>
    <t>tidehunter_anchor_smash</t>
    <phoneticPr fontId="1" type="noConversion"/>
  </si>
  <si>
    <t>sven_warcry</t>
    <phoneticPr fontId="1" type="noConversion"/>
  </si>
  <si>
    <t>sven_gods_strength</t>
    <phoneticPr fontId="1" type="noConversion"/>
  </si>
  <si>
    <t>lycan_shapeshift</t>
    <phoneticPr fontId="1" type="noConversion"/>
  </si>
  <si>
    <t>lycan_howl</t>
    <phoneticPr fontId="1" type="noConversion"/>
  </si>
  <si>
    <t>warlock_shadow_word</t>
    <phoneticPr fontId="1" type="noConversion"/>
  </si>
  <si>
    <t>warlock_upheaval</t>
    <phoneticPr fontId="1" type="noConversion"/>
  </si>
  <si>
    <t>invoker_chaos_meteor</t>
    <phoneticPr fontId="1" type="noConversion"/>
  </si>
  <si>
    <t>death_prophet_silence</t>
    <phoneticPr fontId="1" type="noConversion"/>
  </si>
  <si>
    <t>DOTA_ABILITY_TYPE_ULTIMATE</t>
    <phoneticPr fontId="1" type="noConversion"/>
  </si>
  <si>
    <t>ACT_DOTA_CAST_ABILITY_4</t>
    <phoneticPr fontId="1" type="noConversion"/>
  </si>
  <si>
    <t>ACT_DOTA_CAST_ABILITY_3</t>
    <phoneticPr fontId="1" type="noConversion"/>
  </si>
  <si>
    <t>ACT_DOTA_UNDYING_DECAY</t>
    <phoneticPr fontId="1" type="noConversion"/>
  </si>
  <si>
    <t>0.69 0.69 0.69 0.69</t>
    <phoneticPr fontId="1" type="noConversion"/>
  </si>
  <si>
    <t>0.5 0.5 0.5 0.5</t>
    <phoneticPr fontId="1" type="noConversion"/>
  </si>
  <si>
    <t>14 13 12 11 10</t>
    <phoneticPr fontId="1" type="noConversion"/>
  </si>
  <si>
    <t>10 9 8 7 6</t>
    <phoneticPr fontId="1" type="noConversion"/>
  </si>
  <si>
    <t>2.0 1.8 1.6 1.4 1.2</t>
    <phoneticPr fontId="1" type="noConversion"/>
  </si>
  <si>
    <t>DOTA_ABILITY_BEHAVIOR_NO_TARGET | DOTA_ABILITY_BEHAVIOR_CHANNELLED</t>
    <phoneticPr fontId="1" type="noConversion"/>
  </si>
  <si>
    <t>DOTA_UNIT_TARGET_TEAM_BOTH</t>
    <phoneticPr fontId="1" type="noConversion"/>
  </si>
  <si>
    <t>DOTA_UNIT_TARGET_TEAM_FRIENDLY</t>
    <phoneticPr fontId="1" type="noConversion"/>
  </si>
  <si>
    <t>DOTA_UNIT_TARGET_FLAG_MAGIC_IMMUNE_ENEMIES</t>
    <phoneticPr fontId="1" type="noConversion"/>
  </si>
  <si>
    <t>DOTA_UNIT_TARGET_FLAG_NOT_MAGIC_IMMUNE_ALLIES</t>
    <phoneticPr fontId="1" type="noConversion"/>
  </si>
  <si>
    <t>DAMAGE_TYPE_MAGICAL</t>
    <phoneticPr fontId="1" type="noConversion"/>
  </si>
  <si>
    <t>SPELL_IMMUNITY_ENEMIES_NO</t>
    <phoneticPr fontId="1" type="noConversion"/>
  </si>
  <si>
    <t>SPELL_IMMUNITY_ALLIES_NO</t>
    <phoneticPr fontId="1" type="noConversion"/>
  </si>
  <si>
    <t>attackspeed</t>
    <phoneticPr fontId="1" type="noConversion"/>
  </si>
  <si>
    <t>150 300 450 600 750</t>
    <phoneticPr fontId="1" type="noConversion"/>
  </si>
  <si>
    <t>movespeed</t>
    <phoneticPr fontId="1" type="noConversion"/>
  </si>
  <si>
    <t>heal</t>
    <phoneticPr fontId="1" type="noConversion"/>
  </si>
  <si>
    <t>1000 1500 2000 2500 5000</t>
    <phoneticPr fontId="1" type="noConversion"/>
  </si>
  <si>
    <t>1000 2000 3000 4000 8000</t>
    <phoneticPr fontId="1" type="noConversion"/>
  </si>
  <si>
    <t>500 1000 1500 2000 4000</t>
    <phoneticPr fontId="1" type="noConversion"/>
  </si>
  <si>
    <t>chance</t>
    <phoneticPr fontId="1" type="noConversion"/>
  </si>
  <si>
    <t>20 30 40 50 100</t>
    <phoneticPr fontId="1" type="noConversion"/>
  </si>
  <si>
    <t>bonus_reset_time</t>
    <phoneticPr fontId="1" type="noConversion"/>
  </si>
  <si>
    <t>bonus_attack_speed</t>
    <phoneticPr fontId="1" type="noConversion"/>
  </si>
  <si>
    <t>100 200 300 400 500</t>
    <phoneticPr fontId="1" type="noConversion"/>
  </si>
  <si>
    <t>6000 8000 10000 12000 24000</t>
    <phoneticPr fontId="1" type="noConversion"/>
  </si>
  <si>
    <t>reduce</t>
    <phoneticPr fontId="1" type="noConversion"/>
  </si>
  <si>
    <t>rate</t>
    <phoneticPr fontId="1" type="noConversion"/>
  </si>
  <si>
    <t>0.1 0.15 0.2 0.25 0.5</t>
    <phoneticPr fontId="1" type="noConversion"/>
  </si>
  <si>
    <t>regen</t>
    <phoneticPr fontId="1" type="noConversion"/>
  </si>
  <si>
    <t>20 40 60 80 100</t>
    <phoneticPr fontId="1" type="noConversion"/>
  </si>
  <si>
    <t>percent</t>
    <phoneticPr fontId="1" type="noConversion"/>
  </si>
  <si>
    <t>2 3 4 5 6</t>
    <phoneticPr fontId="1" type="noConversion"/>
  </si>
  <si>
    <t>10 20 30 40 50</t>
    <phoneticPr fontId="1" type="noConversion"/>
  </si>
  <si>
    <t>lifesteal</t>
    <phoneticPr fontId="1" type="noConversion"/>
  </si>
  <si>
    <t>200 300 400 500 1000</t>
    <phoneticPr fontId="1" type="noConversion"/>
  </si>
  <si>
    <t>20 25 30 35 50</t>
    <phoneticPr fontId="1" type="noConversion"/>
  </si>
  <si>
    <t>75 80 85 90 95</t>
    <phoneticPr fontId="1" type="noConversion"/>
  </si>
  <si>
    <t>200 400 600 800 1600</t>
    <phoneticPr fontId="1" type="noConversion"/>
  </si>
  <si>
    <t>speed</t>
    <phoneticPr fontId="1" type="noConversion"/>
  </si>
  <si>
    <t>20000 40000 60000 80000 100000</t>
    <phoneticPr fontId="1" type="noConversion"/>
  </si>
  <si>
    <t>600 600 600 600 600</t>
    <phoneticPr fontId="1" type="noConversion"/>
  </si>
  <si>
    <t>20000 30000 40000 50000 100000</t>
    <phoneticPr fontId="1" type="noConversion"/>
  </si>
  <si>
    <t>18000 26000 34000 42000 84000</t>
    <phoneticPr fontId="1" type="noConversion"/>
  </si>
  <si>
    <t>30000 60000 90000 120000 240000</t>
    <phoneticPr fontId="1" type="noConversion"/>
  </si>
  <si>
    <t>40000 80000 120000 160000 320000</t>
    <phoneticPr fontId="1" type="noConversion"/>
  </si>
  <si>
    <t>100 200 300 400 800</t>
    <phoneticPr fontId="1" type="noConversion"/>
  </si>
  <si>
    <t>1 2 3 4 5</t>
    <phoneticPr fontId="1" type="noConversion"/>
  </si>
  <si>
    <t>11 14 17 20 25</t>
    <phoneticPr fontId="1" type="noConversion"/>
  </si>
  <si>
    <t>50000 100000 150000 200000 250000</t>
    <phoneticPr fontId="1" type="noConversion"/>
  </si>
  <si>
    <t>interval</t>
    <phoneticPr fontId="1" type="noConversion"/>
  </si>
  <si>
    <t>cooldown</t>
    <phoneticPr fontId="1" type="noConversion"/>
  </si>
  <si>
    <t>4000 8000 12000 16000 32000</t>
    <phoneticPr fontId="1" type="noConversion"/>
  </si>
  <si>
    <t>6000 12000 18000 24000 48000</t>
    <phoneticPr fontId="1" type="noConversion"/>
  </si>
  <si>
    <t>20000 40000 60000 80000 160000</t>
    <phoneticPr fontId="1" type="noConversion"/>
  </si>
  <si>
    <t>100000 200000 300000 400000 800000</t>
    <phoneticPr fontId="1" type="noConversion"/>
  </si>
  <si>
    <t>max_damage</t>
    <phoneticPr fontId="1" type="noConversion"/>
  </si>
  <si>
    <t>12 10 8 6 4</t>
    <phoneticPr fontId="1" type="noConversion"/>
  </si>
  <si>
    <t>25 20 15 10 5</t>
    <phoneticPr fontId="1" type="noConversion"/>
  </si>
  <si>
    <t>8000 16000 24000 32000 64000</t>
    <phoneticPr fontId="1" type="noConversion"/>
  </si>
  <si>
    <t>mdef</t>
    <phoneticPr fontId="1" type="noConversion"/>
  </si>
  <si>
    <t>20 30 40 50 60</t>
    <phoneticPr fontId="1" type="noConversion"/>
  </si>
  <si>
    <t>projectile_speed</t>
    <phoneticPr fontId="1" type="noConversion"/>
  </si>
  <si>
    <t>duration</t>
    <phoneticPr fontId="1" type="noConversion"/>
  </si>
  <si>
    <t>great_cleave_radius</t>
    <phoneticPr fontId="1" type="noConversion"/>
  </si>
  <si>
    <t>10000 20000 30000 40000 60000</t>
    <phoneticPr fontId="1" type="noConversion"/>
  </si>
  <si>
    <t>totem_damage_percentage</t>
    <phoneticPr fontId="1" type="noConversion"/>
  </si>
  <si>
    <t>3000 4000 5000 6000 7000</t>
    <phoneticPr fontId="1" type="noConversion"/>
  </si>
  <si>
    <t>bolt_speed</t>
    <phoneticPr fontId="1" type="noConversion"/>
  </si>
  <si>
    <t>4000 4000 4000 4000</t>
    <phoneticPr fontId="1" type="noConversion"/>
  </si>
  <si>
    <t>damage_reduction</t>
    <phoneticPr fontId="1" type="noConversion"/>
  </si>
  <si>
    <t>warcry_armor</t>
    <phoneticPr fontId="1" type="noConversion"/>
  </si>
  <si>
    <t>30 60 90 120 150</t>
    <phoneticPr fontId="1" type="noConversion"/>
  </si>
  <si>
    <t>gods_strength_damage</t>
    <phoneticPr fontId="1" type="noConversion"/>
  </si>
  <si>
    <t>1500 2000 2500 3000 3500</t>
    <phoneticPr fontId="1" type="noConversion"/>
  </si>
  <si>
    <t>critical</t>
    <phoneticPr fontId="1" type="noConversion"/>
  </si>
  <si>
    <t>300 350 400 450 900</t>
    <phoneticPr fontId="1" type="noConversion"/>
  </si>
  <si>
    <t>1 1.5 2 2.5 3</t>
    <phoneticPr fontId="1" type="noConversion"/>
  </si>
  <si>
    <t>250 300 350 400 800</t>
    <phoneticPr fontId="1" type="noConversion"/>
  </si>
  <si>
    <t>bonus_reset_time_roshan</t>
    <phoneticPr fontId="1" type="noConversion"/>
  </si>
  <si>
    <t>evasion</t>
    <phoneticPr fontId="1" type="noConversion"/>
  </si>
  <si>
    <t>30 40 50 60 70</t>
    <phoneticPr fontId="1" type="noConversion"/>
  </si>
  <si>
    <t>5 10 15 20 25</t>
    <phoneticPr fontId="1" type="noConversion"/>
  </si>
  <si>
    <t>700 800 900 1000 1200</t>
    <phoneticPr fontId="1" type="noConversion"/>
  </si>
  <si>
    <t>60 60 60 60 60</t>
    <phoneticPr fontId="1" type="noConversion"/>
  </si>
  <si>
    <t>10 12 14 16 20</t>
    <phoneticPr fontId="1" type="noConversion"/>
  </si>
  <si>
    <t>400 400 400 400 400</t>
    <phoneticPr fontId="1" type="noConversion"/>
  </si>
  <si>
    <t>450 450 450 450 450</t>
    <phoneticPr fontId="1" type="noConversion"/>
  </si>
  <si>
    <t>bonus_armor</t>
    <phoneticPr fontId="1" type="noConversion"/>
  </si>
  <si>
    <t>att_rate</t>
    <phoneticPr fontId="1" type="noConversion"/>
  </si>
  <si>
    <t>10 13 16 19 25</t>
    <phoneticPr fontId="1" type="noConversion"/>
  </si>
  <si>
    <t>6 8 10 12 16</t>
    <phoneticPr fontId="1" type="noConversion"/>
  </si>
  <si>
    <t>5 6 7 8 10</t>
    <phoneticPr fontId="1" type="noConversion"/>
  </si>
  <si>
    <t>40000 80000 120000 160000 200000</t>
    <phoneticPr fontId="1" type="noConversion"/>
  </si>
  <si>
    <t>great_cleave_damage</t>
    <phoneticPr fontId="1" type="noConversion"/>
  </si>
  <si>
    <t>20 35 50 65 80</t>
    <phoneticPr fontId="1" type="noConversion"/>
  </si>
  <si>
    <t>delay</t>
    <phoneticPr fontId="1" type="noConversion"/>
  </si>
  <si>
    <t>bolt_stun_duration</t>
    <phoneticPr fontId="1" type="noConversion"/>
  </si>
  <si>
    <t>movement_speed</t>
    <phoneticPr fontId="1" type="noConversion"/>
  </si>
  <si>
    <t>reduction_duration</t>
    <phoneticPr fontId="1" type="noConversion"/>
  </si>
  <si>
    <t>warcry_movespeed</t>
    <phoneticPr fontId="1" type="noConversion"/>
  </si>
  <si>
    <t>attack_time</t>
    <phoneticPr fontId="1" type="noConversion"/>
  </si>
  <si>
    <t>tick_interval</t>
    <phoneticPr fontId="1" type="noConversion"/>
  </si>
  <si>
    <t>2.0 2.5 3.0 3.5 4.0</t>
    <phoneticPr fontId="1" type="noConversion"/>
  </si>
  <si>
    <t>damage_per_stack</t>
    <phoneticPr fontId="1" type="noConversion"/>
  </si>
  <si>
    <t>200 400 600 800 1000</t>
    <phoneticPr fontId="1" type="noConversion"/>
  </si>
  <si>
    <t>200 300 400 500 600</t>
    <phoneticPr fontId="1" type="noConversion"/>
  </si>
  <si>
    <t>4 5 6 7 8</t>
    <phoneticPr fontId="1" type="noConversion"/>
  </si>
  <si>
    <t>1.6 1.7 1.8 1.9 2.0</t>
    <phoneticPr fontId="1" type="noConversion"/>
  </si>
  <si>
    <t>1.2 1.4 1.6 1.8 2.0</t>
    <phoneticPr fontId="1" type="noConversion"/>
  </si>
  <si>
    <t>20 18 16 14 10</t>
    <phoneticPr fontId="1" type="noConversion"/>
  </si>
  <si>
    <t>800 800 800 800</t>
    <phoneticPr fontId="1" type="noConversion"/>
  </si>
  <si>
    <t>bonus_move_speed</t>
    <phoneticPr fontId="1" type="noConversion"/>
  </si>
  <si>
    <t>jump_count</t>
    <phoneticPr fontId="1" type="noConversion"/>
  </si>
  <si>
    <t>3 4 5 6 8</t>
    <phoneticPr fontId="1" type="noConversion"/>
  </si>
  <si>
    <t>def_rate</t>
    <phoneticPr fontId="1" type="noConversion"/>
  </si>
  <si>
    <t>5 8 11 14 20</t>
    <phoneticPr fontId="1" type="noConversion"/>
  </si>
  <si>
    <t>shock_duration</t>
    <phoneticPr fontId="1" type="noConversion"/>
  </si>
  <si>
    <t>bolt_aoe</t>
    <phoneticPr fontId="1" type="noConversion"/>
  </si>
  <si>
    <t>armor_bonus</t>
    <phoneticPr fontId="1" type="noConversion"/>
  </si>
  <si>
    <t>interval_min</t>
    <phoneticPr fontId="1" type="noConversion"/>
  </si>
  <si>
    <t>max_slow</t>
    <phoneticPr fontId="1" type="noConversion"/>
  </si>
  <si>
    <t>800 1600 2400 3200 4000</t>
    <phoneticPr fontId="1" type="noConversion"/>
  </si>
  <si>
    <t>8 7 6 5 4</t>
    <phoneticPr fontId="1" type="noConversion"/>
  </si>
  <si>
    <t>stats</t>
    <phoneticPr fontId="1" type="noConversion"/>
  </si>
  <si>
    <t>60 50 40 30 20</t>
    <phoneticPr fontId="1" type="noConversion"/>
  </si>
  <si>
    <t>3 4 5 6 7</t>
    <phoneticPr fontId="1" type="noConversion"/>
  </si>
  <si>
    <t>jump_delay</t>
    <phoneticPr fontId="1" type="noConversion"/>
  </si>
  <si>
    <t>0.25 0.25 0.25 0.25 0.25</t>
    <phoneticPr fontId="1" type="noConversion"/>
  </si>
  <si>
    <t>miss</t>
    <phoneticPr fontId="1" type="noConversion"/>
  </si>
  <si>
    <t>50 60 70 80 90</t>
    <phoneticPr fontId="1" type="noConversion"/>
  </si>
  <si>
    <t>distance</t>
    <phoneticPr fontId="1" type="noConversion"/>
  </si>
  <si>
    <t>vision_radius</t>
    <phoneticPr fontId="1" type="noConversion"/>
  </si>
  <si>
    <t>2000 4000 6000 8000 10000</t>
    <phoneticPr fontId="1" type="noConversion"/>
  </si>
  <si>
    <t>warcry_attackspeed</t>
    <phoneticPr fontId="1" type="noConversion"/>
  </si>
  <si>
    <t>40 50 60 70 80</t>
    <phoneticPr fontId="1" type="noConversion"/>
  </si>
  <si>
    <t>interval_max</t>
    <phoneticPr fontId="1" type="noConversion"/>
  </si>
  <si>
    <t>armor_reduce</t>
    <phoneticPr fontId="1" type="noConversion"/>
  </si>
  <si>
    <t>50 100 150 200 250</t>
    <phoneticPr fontId="1" type="noConversion"/>
  </si>
  <si>
    <t>10 10 10 10 10</t>
    <phoneticPr fontId="1" type="noConversion"/>
  </si>
  <si>
    <t>health</t>
    <phoneticPr fontId="1" type="noConversion"/>
  </si>
  <si>
    <t>0 200000 400000 600000 800000</t>
    <phoneticPr fontId="1" type="noConversion"/>
  </si>
  <si>
    <t>cooldown_increase</t>
    <phoneticPr fontId="1" type="noConversion"/>
  </si>
  <si>
    <t>shock_wave_damage</t>
    <phoneticPr fontId="1" type="noConversion"/>
  </si>
  <si>
    <t>10000 20000 30000 40000 50000</t>
    <phoneticPr fontId="1" type="noConversion"/>
  </si>
  <si>
    <t>alert_range</t>
    <phoneticPr fontId="1" type="noConversion"/>
  </si>
  <si>
    <t>ability_lua</t>
    <phoneticPr fontId="1" type="noConversion"/>
  </si>
  <si>
    <t>持续时间</t>
    <phoneticPr fontId="1" type="noConversion"/>
  </si>
  <si>
    <t>伤害</t>
    <phoneticPr fontId="1" type="noConversion"/>
  </si>
  <si>
    <t>2 2.5 3 3.5 4</t>
    <phoneticPr fontId="1" type="noConversion"/>
  </si>
  <si>
    <t>polar_furbolg_ursa_warrior_thunder_clap</t>
    <phoneticPr fontId="1" type="noConversion"/>
  </si>
  <si>
    <t>600 1200 1800 2400 3000</t>
    <phoneticPr fontId="1" type="noConversion"/>
  </si>
  <si>
    <t>4 6 8 10 12</t>
    <phoneticPr fontId="1" type="noConversion"/>
  </si>
  <si>
    <t>regen_reduce</t>
    <phoneticPr fontId="1" type="noConversion"/>
  </si>
  <si>
    <t>AbilityDuration</t>
    <phoneticPr fontId="1" type="noConversion"/>
  </si>
  <si>
    <t>14.0 14.0 14.0 14.0</t>
    <phoneticPr fontId="1" type="noConversion"/>
  </si>
  <si>
    <t>25.0 25.0 25.0</t>
    <phoneticPr fontId="1" type="noConversion"/>
  </si>
  <si>
    <t>3.0 4.0 5.0 6.0</t>
    <phoneticPr fontId="1" type="noConversion"/>
  </si>
  <si>
    <t>AbilityDamage</t>
    <phoneticPr fontId="1" type="noConversion"/>
  </si>
  <si>
    <t>0 0 0 0</t>
    <phoneticPr fontId="1" type="noConversion"/>
  </si>
  <si>
    <t>水怒</t>
    <phoneticPr fontId="1" type="noConversion"/>
  </si>
  <si>
    <t>torrent_interval</t>
    <phoneticPr fontId="1" type="noConversion"/>
  </si>
  <si>
    <t>torrent_max_distance</t>
    <phoneticPr fontId="1" type="noConversion"/>
  </si>
  <si>
    <t>slow_duration</t>
    <phoneticPr fontId="1" type="noConversion"/>
  </si>
  <si>
    <t>cleave_starting_width</t>
    <phoneticPr fontId="1" type="noConversion"/>
  </si>
  <si>
    <t>cleave_ending_width</t>
    <phoneticPr fontId="1" type="noConversion"/>
  </si>
  <si>
    <t>cleave_distance</t>
    <phoneticPr fontId="1" type="noConversion"/>
  </si>
  <si>
    <t>60 80 100 120 140</t>
    <phoneticPr fontId="1" type="noConversion"/>
  </si>
  <si>
    <t>5000 10000 15000 20000 40000</t>
    <phoneticPr fontId="1" type="noConversion"/>
  </si>
  <si>
    <t>4 3.5 3 2.5 2</t>
    <phoneticPr fontId="1" type="noConversion"/>
  </si>
  <si>
    <t>2.5 3 3.5 4 4.5</t>
    <phoneticPr fontId="1" type="noConversion"/>
  </si>
  <si>
    <t>cleave_damage</t>
    <phoneticPr fontId="1" type="noConversion"/>
  </si>
  <si>
    <t>damage_bonus</t>
    <phoneticPr fontId="1" type="noConversion"/>
  </si>
  <si>
    <t xml:space="preserve">1 1.5 2 2.5 3 </t>
    <phoneticPr fontId="1" type="noConversion"/>
  </si>
  <si>
    <t>60 70 80 90 100</t>
    <phoneticPr fontId="1" type="noConversion"/>
  </si>
  <si>
    <t>damage_per_health</t>
    <phoneticPr fontId="1" type="noConversion"/>
  </si>
  <si>
    <t>1 1.2 1.4 1.6 1.8</t>
    <phoneticPr fontId="1" type="noConversion"/>
  </si>
  <si>
    <t>DAMAGE_TYPE_PURE</t>
    <phoneticPr fontId="1" type="noConversion"/>
  </si>
  <si>
    <t>hades_4</t>
    <phoneticPr fontId="1" type="noConversion"/>
  </si>
  <si>
    <t>boss</t>
    <phoneticPr fontId="1" type="noConversion"/>
  </si>
  <si>
    <t>damage_limit</t>
    <phoneticPr fontId="1" type="noConversion"/>
  </si>
  <si>
    <t>damage_reduce</t>
    <phoneticPr fontId="1" type="noConversion"/>
  </si>
  <si>
    <t>70 75 80 85 90</t>
    <phoneticPr fontId="1" type="noConversion"/>
  </si>
  <si>
    <t>hades_1</t>
    <phoneticPr fontId="1" type="noConversion"/>
  </si>
  <si>
    <t>hades_2</t>
    <phoneticPr fontId="1" type="noConversion"/>
  </si>
  <si>
    <t>hades_3</t>
    <phoneticPr fontId="1" type="noConversion"/>
  </si>
  <si>
    <t>elite_28_1</t>
    <phoneticPr fontId="1" type="noConversion"/>
  </si>
  <si>
    <t>elite_28_2</t>
    <phoneticPr fontId="1" type="noConversion"/>
  </si>
  <si>
    <t>count</t>
    <phoneticPr fontId="1" type="noConversion"/>
  </si>
  <si>
    <t>monkey_king_wukongs_command_ti9</t>
    <phoneticPr fontId="1" type="noConversion"/>
  </si>
  <si>
    <t>ACT_DOTA_TAUNT</t>
    <phoneticPr fontId="1" type="noConversion"/>
  </si>
  <si>
    <t>furion_teleportation</t>
    <phoneticPr fontId="1" type="noConversion"/>
  </si>
  <si>
    <t>首领</t>
    <phoneticPr fontId="1" type="noConversion"/>
  </si>
  <si>
    <t>captain</t>
    <phoneticPr fontId="1" type="noConversion"/>
  </si>
  <si>
    <t>crit_chance</t>
    <phoneticPr fontId="1" type="noConversion"/>
  </si>
  <si>
    <t>crit_mult</t>
    <phoneticPr fontId="1" type="noConversion"/>
  </si>
  <si>
    <t>health_regen_pct</t>
    <phoneticPr fontId="1" type="noConversion"/>
  </si>
  <si>
    <t>Boss</t>
    <phoneticPr fontId="1" type="noConversion"/>
  </si>
  <si>
    <t>elite</t>
    <phoneticPr fontId="1" type="noConversion"/>
  </si>
  <si>
    <t>精英怪</t>
    <phoneticPr fontId="1" type="noConversion"/>
  </si>
  <si>
    <t>blue_dragonspawn_overseer_devotion_aura</t>
    <phoneticPr fontId="1" type="noConversion"/>
  </si>
  <si>
    <t>life_stealer_rage_immortal</t>
    <phoneticPr fontId="1" type="noConversion"/>
  </si>
  <si>
    <t>活水</t>
    <phoneticPr fontId="1" type="noConversion"/>
  </si>
  <si>
    <t>泼水</t>
    <phoneticPr fontId="1" type="noConversion"/>
  </si>
  <si>
    <t>wave_5_1</t>
    <phoneticPr fontId="1" type="noConversion"/>
  </si>
  <si>
    <t>wave_5_2</t>
    <phoneticPr fontId="1" type="noConversion"/>
  </si>
  <si>
    <t>elite_4_1</t>
    <phoneticPr fontId="1" type="noConversion"/>
  </si>
  <si>
    <t>清醒拍打</t>
    <phoneticPr fontId="1" type="noConversion"/>
  </si>
  <si>
    <t>闪电</t>
    <phoneticPr fontId="1" type="noConversion"/>
  </si>
  <si>
    <t>wave_7_1</t>
    <phoneticPr fontId="1" type="noConversion"/>
  </si>
  <si>
    <t>elite_7_1</t>
    <phoneticPr fontId="1" type="noConversion"/>
  </si>
  <si>
    <t>wave_30_1</t>
    <phoneticPr fontId="1" type="noConversion"/>
  </si>
  <si>
    <t>trigger_pct</t>
    <phoneticPr fontId="1" type="noConversion"/>
  </si>
  <si>
    <t>elite_30_1</t>
    <phoneticPr fontId="1" type="noConversion"/>
  </si>
  <si>
    <t>elite_30_2</t>
    <phoneticPr fontId="1" type="noConversion"/>
  </si>
  <si>
    <t>elite_30_3</t>
    <phoneticPr fontId="1" type="noConversion"/>
  </si>
  <si>
    <t>死亡之箭</t>
    <phoneticPr fontId="1" type="noConversion"/>
  </si>
  <si>
    <t>命令光环</t>
    <phoneticPr fontId="1" type="noConversion"/>
  </si>
  <si>
    <t>necronomicon_archer_aoe</t>
    <phoneticPr fontId="1" type="noConversion"/>
  </si>
  <si>
    <t>法力燃烧</t>
    <phoneticPr fontId="1" type="noConversion"/>
  </si>
  <si>
    <t>bonus_attack</t>
    <phoneticPr fontId="1" type="noConversion"/>
  </si>
  <si>
    <t>15 20 25 30 35</t>
    <phoneticPr fontId="1" type="noConversion"/>
  </si>
  <si>
    <t>health_reduce</t>
    <phoneticPr fontId="1" type="noConversion"/>
  </si>
  <si>
    <t>1000 2000 3000 4000 5000</t>
    <phoneticPr fontId="1" type="noConversion"/>
  </si>
  <si>
    <t>12 11 10 9 6</t>
    <phoneticPr fontId="1" type="noConversion"/>
  </si>
  <si>
    <t>damage_pct</t>
    <phoneticPr fontId="1" type="noConversion"/>
  </si>
  <si>
    <t>elite_7_2</t>
    <phoneticPr fontId="1" type="noConversion"/>
  </si>
  <si>
    <t>elite_7_3</t>
    <phoneticPr fontId="1" type="noConversion"/>
  </si>
  <si>
    <t>elite_7_4</t>
    <phoneticPr fontId="1" type="noConversion"/>
  </si>
  <si>
    <t>wave_30_2</t>
    <phoneticPr fontId="1" type="noConversion"/>
  </si>
  <si>
    <t>wave_30_3</t>
    <phoneticPr fontId="1" type="noConversion"/>
  </si>
  <si>
    <t>妖术</t>
    <phoneticPr fontId="1" type="noConversion"/>
  </si>
  <si>
    <t>暗言术</t>
    <phoneticPr fontId="1" type="noConversion"/>
  </si>
  <si>
    <t>聚变</t>
    <phoneticPr fontId="1" type="noConversion"/>
  </si>
  <si>
    <t>混乱之雨</t>
    <phoneticPr fontId="1" type="noConversion"/>
  </si>
  <si>
    <t>15000 30000 45000 60000 75000</t>
    <phoneticPr fontId="1" type="noConversion"/>
  </si>
  <si>
    <t>wave_31_1</t>
    <phoneticPr fontId="1" type="noConversion"/>
  </si>
  <si>
    <t>wave_31_2</t>
    <phoneticPr fontId="1" type="noConversion"/>
  </si>
  <si>
    <t>炮台</t>
    <phoneticPr fontId="1" type="noConversion"/>
  </si>
  <si>
    <t>灵魂隔断</t>
    <phoneticPr fontId="1" type="noConversion"/>
  </si>
  <si>
    <t>wave_32_1</t>
    <phoneticPr fontId="1" type="noConversion"/>
  </si>
  <si>
    <t>神圣攻击</t>
    <phoneticPr fontId="1" type="noConversion"/>
  </si>
  <si>
    <t>神圣护甲</t>
    <phoneticPr fontId="1" type="noConversion"/>
  </si>
  <si>
    <t>20 19 18 17 16</t>
    <phoneticPr fontId="1" type="noConversion"/>
  </si>
  <si>
    <t>wave_32_2</t>
    <phoneticPr fontId="1" type="noConversion"/>
  </si>
  <si>
    <t>chen_test_of_faith</t>
    <phoneticPr fontId="1" type="noConversion"/>
  </si>
  <si>
    <t>chen_penitence</t>
    <phoneticPr fontId="1" type="noConversion"/>
  </si>
  <si>
    <t>mana_burn</t>
    <phoneticPr fontId="1" type="noConversion"/>
  </si>
  <si>
    <t>DOTA_ABILITY_BEHAVIOR_IGNORE_BACKSWING</t>
    <phoneticPr fontId="1" type="noConversion"/>
  </si>
  <si>
    <t>DOTA_ABILITY_BEHAVIOR_UNIT_TARGET | DOTA_ABILITY_BEHAVIOR_IGNORE_BACKSWING</t>
    <phoneticPr fontId="1" type="noConversion"/>
  </si>
  <si>
    <t>wave_33_1</t>
    <phoneticPr fontId="1" type="noConversion"/>
  </si>
  <si>
    <t>wave_33_2</t>
    <phoneticPr fontId="1" type="noConversion"/>
  </si>
  <si>
    <t>魔力损毁</t>
    <phoneticPr fontId="1" type="noConversion"/>
  </si>
  <si>
    <t>海蚀</t>
    <phoneticPr fontId="1" type="noConversion"/>
  </si>
  <si>
    <t>elite_33_3</t>
    <phoneticPr fontId="1" type="noConversion"/>
  </si>
  <si>
    <t>海妖之歌</t>
    <phoneticPr fontId="1" type="noConversion"/>
  </si>
  <si>
    <t>elite_33_1</t>
    <phoneticPr fontId="1" type="noConversion"/>
  </si>
  <si>
    <t>海妖幻影</t>
    <phoneticPr fontId="1" type="noConversion"/>
  </si>
  <si>
    <t>elite_33_2</t>
    <phoneticPr fontId="1" type="noConversion"/>
  </si>
  <si>
    <t>激流</t>
    <phoneticPr fontId="1" type="noConversion"/>
  </si>
  <si>
    <t>25000 50000 75000 100000 125000</t>
    <phoneticPr fontId="1" type="noConversion"/>
  </si>
  <si>
    <t>naga_siren_mirror_image</t>
    <phoneticPr fontId="1" type="noConversion"/>
  </si>
  <si>
    <t>naga_siren_rip_tide</t>
    <phoneticPr fontId="1" type="noConversion"/>
  </si>
  <si>
    <t>8000 16000 24000 32000 40000</t>
    <phoneticPr fontId="1" type="noConversion"/>
  </si>
  <si>
    <t>2</t>
    <phoneticPr fontId="1" type="noConversion"/>
  </si>
  <si>
    <t>Note</t>
    <phoneticPr fontId="1" type="noConversion"/>
  </si>
  <si>
    <t>12 11 10 9 8</t>
    <phoneticPr fontId="1" type="noConversion"/>
  </si>
  <si>
    <t>30000 60000 90000 120000 150000</t>
  </si>
  <si>
    <t>400</t>
    <phoneticPr fontId="1" type="noConversion"/>
  </si>
  <si>
    <t>image_count</t>
    <phoneticPr fontId="1" type="noConversion"/>
  </si>
  <si>
    <t>5</t>
    <phoneticPr fontId="1" type="noConversion"/>
  </si>
  <si>
    <t>0.5</t>
    <phoneticPr fontId="1" type="noConversion"/>
  </si>
  <si>
    <t>outgoing_damage</t>
    <phoneticPr fontId="1" type="noConversion"/>
  </si>
  <si>
    <t>incoming_damage</t>
    <phoneticPr fontId="1" type="noConversion"/>
  </si>
  <si>
    <t>1200</t>
    <phoneticPr fontId="1" type="noConversion"/>
  </si>
  <si>
    <t>450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</si>
</sst>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0" xfId="0" applyFill="1" applyBorder="1" applyAlignment="1">
      <alignment horizontal="right"/>
    </xf>
    <xf numFmtId="0" fontId="0" fillId="2" borderId="3" xfId="0" applyFill="1" applyBorder="1" applyAlignment="1">
      <alignment horizontal="center"/>
    </xf>
    <xf numFmtId="49" fontId="0" fillId="0" borderId="0" xfId="0" applyNumberFormat="1" applyFill="1" applyBorder="1" applyAlignment="1">
      <alignment horizontal="right"/>
    </xf>
    <xf numFmtId="49" fontId="0" fillId="2" borderId="1" xfId="0" applyNumberFormat="1" applyFill="1" applyBorder="1" applyAlignment="1">
      <alignment horizontal="center"/>
    </xf>
    <xf numFmtId="49" fontId="0" fillId="2" borderId="3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49" fontId="0" fillId="0" borderId="2" xfId="0" applyNumberFormat="1" applyFill="1" applyBorder="1" applyAlignment="1">
      <alignment horizontal="right"/>
    </xf>
  </cellXfs>
  <cellStyles count="1">
    <cellStyle name="常规" xfId="0" builtinId="0"/>
  </cellStyles>
  <dxfs count="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/>
        </patternFill>
      </fill>
      <border>
        <right style="thin">
          <color auto="1"/>
        </right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/>
        <bottom style="thin">
          <color auto="1"/>
        </bottom>
        <vertical style="thin">
          <color auto="1"/>
        </vertical>
        <horizontal/>
      </border>
    </dxf>
    <dxf>
      <fill>
        <patternFill>
          <bgColor theme="9" tint="0.79998168889431442"/>
        </patternFill>
      </fill>
      <border>
        <right/>
        <bottom style="thin">
          <color auto="1"/>
        </bottom>
        <vertical style="thin">
          <color auto="1"/>
        </vertical>
        <horizontal/>
      </border>
    </dxf>
  </dxfs>
  <tableStyles count="1" defaultTableStyle="TableStyleMedium2" defaultPivotStyle="PivotStyleLight16">
    <tableStyle name="表样式 1" pivot="0" count="2" xr9:uid="{18370017-D15C-43C2-B56B-66AC64F06809}">
      <tableStyleElement type="firstRowStripe" size="2" dxfId="8"/>
      <tableStyleElement type="secondRowStripe" size="2" dxfId="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166"/>
  <sheetViews>
    <sheetView tabSelected="1" workbookViewId="0">
      <pane xSplit="2" ySplit="2" topLeftCell="T143" activePane="bottomRight" state="frozen"/>
      <selection pane="topRight" activeCell="C1" sqref="C1"/>
      <selection pane="bottomLeft" activeCell="A3" sqref="A3"/>
      <selection pane="bottomRight" activeCell="V166" sqref="V166"/>
    </sheetView>
  </sheetViews>
  <sheetFormatPr defaultColWidth="9" defaultRowHeight="13.9" x14ac:dyDescent="0.4"/>
  <cols>
    <col min="1" max="1" width="16.1328125" style="1" bestFit="1" customWidth="1"/>
    <col min="2" max="2" width="12.1328125" style="1" customWidth="1"/>
    <col min="3" max="3" width="16.3984375" style="1" bestFit="1" customWidth="1"/>
    <col min="4" max="4" width="36.73046875" style="1" customWidth="1"/>
    <col min="5" max="5" width="37.59765625" style="1" bestFit="1" customWidth="1"/>
    <col min="6" max="6" width="29.1328125" style="1" bestFit="1" customWidth="1"/>
    <col min="7" max="7" width="9.1328125" style="1" bestFit="1" customWidth="1"/>
    <col min="8" max="8" width="27.3984375" style="1" bestFit="1" customWidth="1"/>
    <col min="9" max="9" width="15.86328125" style="1" bestFit="1" customWidth="1"/>
    <col min="10" max="10" width="17.265625" style="1" bestFit="1" customWidth="1"/>
    <col min="11" max="11" width="15.3984375" style="1" bestFit="1" customWidth="1"/>
    <col min="12" max="12" width="15.265625" style="1" bestFit="1" customWidth="1"/>
    <col min="13" max="13" width="17.73046875" style="1" bestFit="1" customWidth="1"/>
    <col min="14" max="14" width="74.46484375" style="1" bestFit="1" customWidth="1"/>
    <col min="15" max="15" width="35.46484375" style="1" bestFit="1" customWidth="1"/>
    <col min="16" max="16" width="52.3984375" style="1" bestFit="1" customWidth="1"/>
    <col min="17" max="17" width="53.265625" style="1" bestFit="1" customWidth="1"/>
    <col min="18" max="18" width="24" style="1" bestFit="1" customWidth="1"/>
    <col min="19" max="19" width="29.86328125" style="1" bestFit="1" customWidth="1"/>
    <col min="20" max="20" width="17.265625" style="10" bestFit="1" customWidth="1"/>
    <col min="21" max="21" width="29.3984375" style="5" bestFit="1" customWidth="1"/>
    <col min="22" max="22" width="36.1328125" style="7" bestFit="1" customWidth="1"/>
    <col min="23" max="23" width="33.86328125" style="7" bestFit="1" customWidth="1"/>
    <col min="24" max="24" width="23.86328125" style="7" bestFit="1" customWidth="1"/>
    <col min="25" max="25" width="26.1328125" style="7" bestFit="1" customWidth="1"/>
    <col min="26" max="26" width="30.46484375" style="7" bestFit="1" customWidth="1"/>
    <col min="27" max="29" width="19.86328125" style="7" bestFit="1" customWidth="1"/>
    <col min="30" max="16384" width="9" style="1"/>
  </cols>
  <sheetData>
    <row r="1" spans="1:29" s="2" customFormat="1" x14ac:dyDescent="0.4">
      <c r="A1" s="2" t="s">
        <v>163</v>
      </c>
      <c r="B1" s="2" t="s">
        <v>164</v>
      </c>
      <c r="C1" s="2" t="s">
        <v>165</v>
      </c>
      <c r="D1" s="2" t="s">
        <v>166</v>
      </c>
      <c r="E1" s="2" t="s">
        <v>167</v>
      </c>
      <c r="F1" s="2" t="s">
        <v>168</v>
      </c>
      <c r="G1" s="2" t="s">
        <v>169</v>
      </c>
      <c r="H1" s="2" t="s">
        <v>170</v>
      </c>
      <c r="I1" s="2" t="s">
        <v>171</v>
      </c>
      <c r="J1" s="2" t="s">
        <v>172</v>
      </c>
      <c r="K1" s="2" t="s">
        <v>173</v>
      </c>
      <c r="L1" s="2" t="s">
        <v>174</v>
      </c>
      <c r="M1" s="2" t="s">
        <v>175</v>
      </c>
      <c r="N1" s="2" t="s">
        <v>4</v>
      </c>
      <c r="O1" s="2" t="s">
        <v>176</v>
      </c>
      <c r="P1" s="2" t="s">
        <v>177</v>
      </c>
      <c r="Q1" s="2" t="s">
        <v>178</v>
      </c>
      <c r="R1" s="2" t="s">
        <v>179</v>
      </c>
      <c r="S1" s="2" t="s">
        <v>180</v>
      </c>
      <c r="T1" s="8" t="s">
        <v>487</v>
      </c>
      <c r="U1" s="2" t="s">
        <v>488</v>
      </c>
      <c r="V1" s="8" t="s">
        <v>181</v>
      </c>
      <c r="W1" s="8" t="s">
        <v>181</v>
      </c>
      <c r="X1" s="8" t="s">
        <v>181</v>
      </c>
      <c r="Y1" s="8" t="s">
        <v>181</v>
      </c>
      <c r="Z1" s="8" t="s">
        <v>181</v>
      </c>
      <c r="AA1" s="8" t="s">
        <v>181</v>
      </c>
      <c r="AB1" s="8" t="s">
        <v>181</v>
      </c>
      <c r="AC1" s="8" t="s">
        <v>181</v>
      </c>
    </row>
    <row r="2" spans="1:29" s="6" customFormat="1" x14ac:dyDescent="0.4">
      <c r="A2" s="6" t="s">
        <v>182</v>
      </c>
      <c r="B2" s="6" t="s">
        <v>605</v>
      </c>
      <c r="C2" s="6" t="s">
        <v>183</v>
      </c>
      <c r="D2" s="6" t="s">
        <v>184</v>
      </c>
      <c r="E2" s="6" t="s">
        <v>185</v>
      </c>
      <c r="F2" s="6" t="s">
        <v>158</v>
      </c>
      <c r="G2" s="6" t="s">
        <v>186</v>
      </c>
      <c r="H2" s="6" t="s">
        <v>187</v>
      </c>
      <c r="I2" s="6" t="s">
        <v>188</v>
      </c>
      <c r="J2" s="6" t="s">
        <v>189</v>
      </c>
      <c r="K2" s="6" t="s">
        <v>190</v>
      </c>
      <c r="L2" s="6" t="s">
        <v>191</v>
      </c>
      <c r="M2" s="6" t="s">
        <v>192</v>
      </c>
      <c r="N2" s="6" t="s">
        <v>1</v>
      </c>
      <c r="O2" s="6" t="s">
        <v>193</v>
      </c>
      <c r="P2" s="6" t="s">
        <v>194</v>
      </c>
      <c r="Q2" s="6" t="s">
        <v>195</v>
      </c>
      <c r="R2" s="6" t="s">
        <v>196</v>
      </c>
      <c r="S2" s="6" t="s">
        <v>197</v>
      </c>
      <c r="T2" s="9" t="s">
        <v>494</v>
      </c>
      <c r="U2" s="6" t="s">
        <v>498</v>
      </c>
      <c r="V2" s="9" t="s">
        <v>198</v>
      </c>
      <c r="W2" s="9" t="s">
        <v>198</v>
      </c>
      <c r="X2" s="9" t="s">
        <v>198</v>
      </c>
      <c r="Y2" s="9" t="s">
        <v>198</v>
      </c>
      <c r="Z2" s="9" t="s">
        <v>198</v>
      </c>
      <c r="AA2" s="9" t="s">
        <v>198</v>
      </c>
      <c r="AB2" s="9" t="s">
        <v>198</v>
      </c>
      <c r="AC2" s="9" t="s">
        <v>198</v>
      </c>
    </row>
    <row r="3" spans="1:29" x14ac:dyDescent="0.4">
      <c r="A3" s="1" t="s">
        <v>217</v>
      </c>
      <c r="C3" s="1" t="s">
        <v>486</v>
      </c>
      <c r="D3" s="1" t="str">
        <f>"abilities/enemy/"&amp;A3</f>
        <v>abilities/enemy/force_rush</v>
      </c>
      <c r="E3" s="1" t="s">
        <v>270</v>
      </c>
      <c r="G3" s="1">
        <v>5</v>
      </c>
      <c r="N3" s="1" t="s">
        <v>0</v>
      </c>
      <c r="O3" s="1" t="s">
        <v>199</v>
      </c>
      <c r="P3" s="1" t="s">
        <v>200</v>
      </c>
      <c r="V3" s="7" t="s">
        <v>356</v>
      </c>
      <c r="W3" s="7" t="s">
        <v>353</v>
      </c>
      <c r="Y3" s="11"/>
      <c r="Z3" s="11"/>
    </row>
    <row r="4" spans="1:29" x14ac:dyDescent="0.4">
      <c r="V4" s="7" t="s">
        <v>357</v>
      </c>
      <c r="W4" s="7" t="s">
        <v>375</v>
      </c>
    </row>
    <row r="5" spans="1:29" x14ac:dyDescent="0.4">
      <c r="A5" s="1" t="s">
        <v>218</v>
      </c>
      <c r="C5" s="1" t="s">
        <v>486</v>
      </c>
      <c r="D5" s="1" t="str">
        <f>"abilities/enemy/"&amp;A5</f>
        <v>abilities/enemy/courage</v>
      </c>
      <c r="E5" s="1" t="s">
        <v>271</v>
      </c>
      <c r="G5" s="1">
        <v>5</v>
      </c>
      <c r="N5" s="1" t="s">
        <v>0</v>
      </c>
      <c r="O5" s="1" t="s">
        <v>199</v>
      </c>
      <c r="P5" s="1" t="s">
        <v>200</v>
      </c>
      <c r="V5" s="7" t="s">
        <v>356</v>
      </c>
    </row>
    <row r="6" spans="1:29" x14ac:dyDescent="0.4">
      <c r="V6" s="7" t="s">
        <v>358</v>
      </c>
    </row>
    <row r="7" spans="1:29" x14ac:dyDescent="0.4">
      <c r="A7" s="1" t="s">
        <v>219</v>
      </c>
      <c r="C7" s="1" t="s">
        <v>486</v>
      </c>
      <c r="D7" s="1" t="str">
        <f>"abilities/enemy/"&amp;A7</f>
        <v>abilities/enemy/life_absorb</v>
      </c>
      <c r="E7" s="1" t="s">
        <v>272</v>
      </c>
      <c r="G7" s="1">
        <v>5</v>
      </c>
      <c r="I7" s="1">
        <v>900</v>
      </c>
      <c r="K7" s="1">
        <v>15</v>
      </c>
      <c r="N7" s="1" t="s">
        <v>5</v>
      </c>
      <c r="O7" s="1" t="s">
        <v>199</v>
      </c>
      <c r="P7" s="1" t="s">
        <v>200</v>
      </c>
      <c r="R7" s="1" t="s">
        <v>350</v>
      </c>
      <c r="V7" s="7" t="s">
        <v>204</v>
      </c>
      <c r="W7" s="7" t="s">
        <v>356</v>
      </c>
    </row>
    <row r="8" spans="1:29" x14ac:dyDescent="0.4">
      <c r="V8" s="7" t="s">
        <v>359</v>
      </c>
      <c r="W8" s="7">
        <v>1000</v>
      </c>
    </row>
    <row r="9" spans="1:29" x14ac:dyDescent="0.4">
      <c r="A9" s="1" t="s">
        <v>220</v>
      </c>
      <c r="C9" s="1" t="s">
        <v>486</v>
      </c>
      <c r="D9" s="1" t="str">
        <f t="shared" ref="D9" si="0">"abilities/enemy/"&amp;A9</f>
        <v>abilities/enemy/wolf_critical</v>
      </c>
      <c r="E9" s="1" t="s">
        <v>273</v>
      </c>
      <c r="G9" s="1">
        <v>5</v>
      </c>
      <c r="N9" s="1" t="s">
        <v>0</v>
      </c>
      <c r="O9" s="1" t="s">
        <v>199</v>
      </c>
      <c r="P9" s="1" t="s">
        <v>200</v>
      </c>
      <c r="V9" s="7" t="s">
        <v>360</v>
      </c>
      <c r="W9" s="7" t="s">
        <v>415</v>
      </c>
    </row>
    <row r="10" spans="1:29" x14ac:dyDescent="0.4">
      <c r="V10" s="7" t="s">
        <v>361</v>
      </c>
      <c r="W10" s="7" t="s">
        <v>418</v>
      </c>
    </row>
    <row r="11" spans="1:29" x14ac:dyDescent="0.4">
      <c r="A11" s="1" t="s">
        <v>221</v>
      </c>
      <c r="C11" s="1" t="s">
        <v>486</v>
      </c>
      <c r="D11" s="1" t="str">
        <f t="shared" ref="D11" si="1">"abilities/enemy/"&amp;A11</f>
        <v>abilities/enemy/wolf_wound</v>
      </c>
      <c r="E11" s="1" t="s">
        <v>274</v>
      </c>
      <c r="G11" s="1">
        <v>5</v>
      </c>
      <c r="N11" s="1" t="s">
        <v>0</v>
      </c>
      <c r="R11" s="1" t="s">
        <v>215</v>
      </c>
      <c r="S11" s="1" t="s">
        <v>213</v>
      </c>
      <c r="V11" s="7" t="s">
        <v>362</v>
      </c>
      <c r="W11" s="7" t="s">
        <v>419</v>
      </c>
      <c r="X11" s="7" t="s">
        <v>444</v>
      </c>
    </row>
    <row r="12" spans="1:29" x14ac:dyDescent="0.4">
      <c r="V12" s="7">
        <v>15</v>
      </c>
      <c r="W12" s="7">
        <v>6</v>
      </c>
      <c r="X12" s="7" t="s">
        <v>445</v>
      </c>
    </row>
    <row r="13" spans="1:29" x14ac:dyDescent="0.4">
      <c r="A13" s="1" t="s">
        <v>222</v>
      </c>
      <c r="C13" s="1" t="s">
        <v>486</v>
      </c>
      <c r="D13" s="1" t="str">
        <f t="shared" ref="D13" si="2">"abilities/enemy/"&amp;A13</f>
        <v>abilities/enemy/wolf_invisible</v>
      </c>
      <c r="E13" s="1" t="s">
        <v>275</v>
      </c>
      <c r="G13" s="1">
        <v>5</v>
      </c>
      <c r="N13" s="1" t="s">
        <v>0</v>
      </c>
    </row>
    <row r="15" spans="1:29" x14ac:dyDescent="0.4">
      <c r="A15" s="1" t="s">
        <v>223</v>
      </c>
      <c r="C15" s="1" t="s">
        <v>486</v>
      </c>
      <c r="D15" s="1" t="str">
        <f t="shared" ref="D15" si="3">"abilities/enemy/"&amp;A15</f>
        <v>abilities/enemy/jugg_attack</v>
      </c>
      <c r="E15" s="1" t="s">
        <v>276</v>
      </c>
      <c r="G15" s="1">
        <v>5</v>
      </c>
      <c r="N15" s="1" t="s">
        <v>0</v>
      </c>
      <c r="V15" s="7" t="s">
        <v>363</v>
      </c>
      <c r="W15" s="7" t="s">
        <v>420</v>
      </c>
      <c r="X15" s="7" t="s">
        <v>415</v>
      </c>
      <c r="Y15" s="7" t="s">
        <v>360</v>
      </c>
      <c r="Z15" s="7" t="s">
        <v>477</v>
      </c>
      <c r="AA15" s="7" t="s">
        <v>403</v>
      </c>
      <c r="AB15" s="7" t="s">
        <v>403</v>
      </c>
      <c r="AC15" s="7" t="s">
        <v>403</v>
      </c>
    </row>
    <row r="16" spans="1:29" x14ac:dyDescent="0.4">
      <c r="V16" s="7" t="s">
        <v>364</v>
      </c>
      <c r="W16" s="7" t="s">
        <v>421</v>
      </c>
      <c r="X16" s="7" t="s">
        <v>446</v>
      </c>
      <c r="Y16" s="7">
        <v>25</v>
      </c>
      <c r="Z16" s="7">
        <v>-150</v>
      </c>
      <c r="AA16" s="7">
        <v>2</v>
      </c>
      <c r="AB16" s="7">
        <v>2</v>
      </c>
      <c r="AC16" s="7">
        <v>2</v>
      </c>
    </row>
    <row r="17" spans="1:26" x14ac:dyDescent="0.4">
      <c r="A17" s="1" t="s">
        <v>224</v>
      </c>
      <c r="C17" s="1" t="s">
        <v>486</v>
      </c>
      <c r="D17" s="1" t="str">
        <f t="shared" ref="D17" si="4">"abilities/enemy/"&amp;A17</f>
        <v>abilities/enemy/bomb_suicide</v>
      </c>
      <c r="E17" s="1" t="s">
        <v>277</v>
      </c>
      <c r="G17" s="1">
        <v>5</v>
      </c>
      <c r="N17" s="1" t="s">
        <v>0</v>
      </c>
      <c r="O17" s="1" t="s">
        <v>199</v>
      </c>
      <c r="P17" s="1" t="s">
        <v>200</v>
      </c>
      <c r="R17" s="1" t="s">
        <v>350</v>
      </c>
      <c r="V17" s="7" t="s">
        <v>204</v>
      </c>
      <c r="W17" s="7" t="s">
        <v>202</v>
      </c>
    </row>
    <row r="18" spans="1:26" x14ac:dyDescent="0.4">
      <c r="V18" s="7" t="s">
        <v>365</v>
      </c>
      <c r="W18" s="7">
        <v>600</v>
      </c>
    </row>
    <row r="19" spans="1:26" x14ac:dyDescent="0.4">
      <c r="A19" s="1" t="s">
        <v>225</v>
      </c>
      <c r="C19" s="1" t="s">
        <v>486</v>
      </c>
      <c r="D19" s="1" t="str">
        <f t="shared" ref="D19" si="5">"abilities/enemy/"&amp;A19</f>
        <v>abilities/enemy/soul_tremble</v>
      </c>
      <c r="E19" s="1" t="s">
        <v>278</v>
      </c>
      <c r="G19" s="1">
        <v>5</v>
      </c>
      <c r="H19" s="1" t="s">
        <v>214</v>
      </c>
      <c r="I19" s="1">
        <v>600</v>
      </c>
      <c r="J19" s="1">
        <v>0.3</v>
      </c>
      <c r="K19" s="1">
        <v>30</v>
      </c>
      <c r="L19" s="1">
        <v>100</v>
      </c>
      <c r="N19" s="1" t="s">
        <v>5</v>
      </c>
      <c r="O19" s="1" t="s">
        <v>199</v>
      </c>
      <c r="P19" s="1" t="s">
        <v>200</v>
      </c>
      <c r="R19" s="1" t="s">
        <v>350</v>
      </c>
      <c r="V19" s="7" t="s">
        <v>366</v>
      </c>
    </row>
    <row r="20" spans="1:26" x14ac:dyDescent="0.4">
      <c r="V20" s="7">
        <v>-500</v>
      </c>
    </row>
    <row r="21" spans="1:26" x14ac:dyDescent="0.4">
      <c r="A21" s="1" t="s">
        <v>226</v>
      </c>
      <c r="C21" s="1" t="s">
        <v>486</v>
      </c>
      <c r="D21" s="1" t="str">
        <f t="shared" ref="D21" si="6">"abilities/enemy/"&amp;A21</f>
        <v>abilities/enemy/soul_hurt</v>
      </c>
      <c r="E21" s="1" t="s">
        <v>279</v>
      </c>
      <c r="G21" s="1">
        <v>5</v>
      </c>
      <c r="N21" s="1" t="s">
        <v>0</v>
      </c>
      <c r="R21" s="1" t="s">
        <v>350</v>
      </c>
      <c r="V21" s="7" t="s">
        <v>367</v>
      </c>
    </row>
    <row r="22" spans="1:26" x14ac:dyDescent="0.4">
      <c r="V22" s="7" t="s">
        <v>368</v>
      </c>
    </row>
    <row r="23" spans="1:26" x14ac:dyDescent="0.4">
      <c r="A23" s="1" t="s">
        <v>227</v>
      </c>
      <c r="C23" s="1" t="s">
        <v>486</v>
      </c>
      <c r="D23" s="1" t="str">
        <f t="shared" ref="D23" si="7">"abilities/enemy/"&amp;A23</f>
        <v>abilities/enemy/poison_sting</v>
      </c>
      <c r="E23" s="1" t="s">
        <v>289</v>
      </c>
      <c r="G23" s="1">
        <v>5</v>
      </c>
      <c r="I23" s="1">
        <v>900</v>
      </c>
      <c r="J23" s="1">
        <v>0.3</v>
      </c>
      <c r="K23" s="1">
        <v>10</v>
      </c>
      <c r="N23" s="1" t="s">
        <v>5</v>
      </c>
      <c r="O23" s="1" t="s">
        <v>199</v>
      </c>
      <c r="P23" s="1" t="s">
        <v>200</v>
      </c>
      <c r="R23" s="1" t="s">
        <v>350</v>
      </c>
      <c r="U23" s="5" t="s">
        <v>380</v>
      </c>
      <c r="V23" s="7" t="s">
        <v>403</v>
      </c>
      <c r="W23" s="7" t="s">
        <v>355</v>
      </c>
      <c r="X23" s="7" t="s">
        <v>379</v>
      </c>
    </row>
    <row r="24" spans="1:26" x14ac:dyDescent="0.4">
      <c r="V24" s="7">
        <v>6</v>
      </c>
      <c r="W24" s="7">
        <v>-500</v>
      </c>
      <c r="X24" s="7">
        <v>600</v>
      </c>
    </row>
    <row r="25" spans="1:26" x14ac:dyDescent="0.4">
      <c r="A25" s="1" t="s">
        <v>228</v>
      </c>
      <c r="C25" s="1" t="s">
        <v>486</v>
      </c>
      <c r="D25" s="1" t="str">
        <f t="shared" ref="D25" si="8">"abilities/enemy/"&amp;A25</f>
        <v>abilities/enemy/fuhuosishi</v>
      </c>
      <c r="E25" s="1" t="s">
        <v>290</v>
      </c>
      <c r="G25" s="1">
        <v>5</v>
      </c>
      <c r="H25" s="1" t="s">
        <v>214</v>
      </c>
      <c r="I25" s="1">
        <v>600</v>
      </c>
      <c r="J25" s="1">
        <v>0.3</v>
      </c>
      <c r="K25" s="1">
        <v>30</v>
      </c>
      <c r="L25" s="1">
        <v>0</v>
      </c>
      <c r="N25" s="1" t="s">
        <v>88</v>
      </c>
      <c r="O25" s="1" t="s">
        <v>347</v>
      </c>
      <c r="P25" s="1" t="s">
        <v>200</v>
      </c>
      <c r="V25" s="7" t="s">
        <v>202</v>
      </c>
      <c r="W25" s="7" t="s">
        <v>403</v>
      </c>
    </row>
    <row r="26" spans="1:26" x14ac:dyDescent="0.4">
      <c r="V26" s="7" t="s">
        <v>381</v>
      </c>
      <c r="W26" s="7" t="s">
        <v>424</v>
      </c>
    </row>
    <row r="27" spans="1:26" x14ac:dyDescent="0.4">
      <c r="A27" s="1" t="s">
        <v>229</v>
      </c>
      <c r="C27" s="1" t="s">
        <v>486</v>
      </c>
      <c r="D27" s="1" t="str">
        <f t="shared" ref="D27" si="9">"abilities/enemy/"&amp;A27</f>
        <v>abilities/enemy/roshan_stun</v>
      </c>
      <c r="E27" s="1" t="s">
        <v>292</v>
      </c>
      <c r="G27" s="1">
        <v>5</v>
      </c>
      <c r="N27" s="1" t="s">
        <v>0</v>
      </c>
      <c r="O27" s="1" t="s">
        <v>199</v>
      </c>
      <c r="P27" s="1" t="s">
        <v>200</v>
      </c>
      <c r="R27" s="1" t="s">
        <v>350</v>
      </c>
      <c r="V27" s="7" t="s">
        <v>204</v>
      </c>
      <c r="W27" s="7" t="s">
        <v>360</v>
      </c>
      <c r="X27" s="7" t="s">
        <v>403</v>
      </c>
      <c r="Y27" s="7" t="s">
        <v>391</v>
      </c>
      <c r="Z27" s="7" t="s">
        <v>353</v>
      </c>
    </row>
    <row r="28" spans="1:26" x14ac:dyDescent="0.4">
      <c r="V28" s="7" t="s">
        <v>382</v>
      </c>
      <c r="W28" s="7" t="s">
        <v>425</v>
      </c>
      <c r="X28" s="7" t="s">
        <v>448</v>
      </c>
      <c r="Y28" s="7" t="s">
        <v>463</v>
      </c>
      <c r="Z28" s="7" t="s">
        <v>478</v>
      </c>
    </row>
    <row r="29" spans="1:26" x14ac:dyDescent="0.4">
      <c r="A29" s="1" t="s">
        <v>230</v>
      </c>
      <c r="C29" s="1" t="s">
        <v>486</v>
      </c>
      <c r="D29" s="1" t="str">
        <f t="shared" ref="D29" si="10">"abilities/enemy/"&amp;A29</f>
        <v>abilities/enemy/slardar_stun</v>
      </c>
      <c r="E29" s="1" t="s">
        <v>293</v>
      </c>
      <c r="G29" s="1">
        <v>5</v>
      </c>
      <c r="N29" s="1" t="s">
        <v>0</v>
      </c>
      <c r="O29" s="1" t="s">
        <v>199</v>
      </c>
      <c r="P29" s="1" t="s">
        <v>200</v>
      </c>
      <c r="R29" s="1" t="s">
        <v>350</v>
      </c>
      <c r="V29" s="7" t="s">
        <v>204</v>
      </c>
      <c r="W29" s="7" t="s">
        <v>360</v>
      </c>
      <c r="X29" s="7" t="s">
        <v>403</v>
      </c>
      <c r="Y29" s="7" t="s">
        <v>464</v>
      </c>
      <c r="Z29" s="7" t="s">
        <v>353</v>
      </c>
    </row>
    <row r="30" spans="1:26" x14ac:dyDescent="0.4">
      <c r="V30" s="7" t="s">
        <v>383</v>
      </c>
      <c r="W30" s="7" t="s">
        <v>425</v>
      </c>
      <c r="X30" s="7" t="s">
        <v>447</v>
      </c>
      <c r="Y30" s="7">
        <v>-2700</v>
      </c>
      <c r="Z30" s="7" t="s">
        <v>478</v>
      </c>
    </row>
    <row r="31" spans="1:26" x14ac:dyDescent="0.4">
      <c r="A31" s="1" t="s">
        <v>231</v>
      </c>
      <c r="C31" s="1" t="s">
        <v>486</v>
      </c>
      <c r="D31" s="1" t="str">
        <f t="shared" ref="D31" si="11">"abilities/enemy/"&amp;A31</f>
        <v>abilities/enemy/slardar_crush</v>
      </c>
      <c r="E31" s="1" t="s">
        <v>294</v>
      </c>
      <c r="G31" s="1">
        <v>5</v>
      </c>
      <c r="H31" s="1" t="s">
        <v>203</v>
      </c>
      <c r="J31" s="1">
        <v>0.35</v>
      </c>
      <c r="K31" s="1" t="s">
        <v>342</v>
      </c>
      <c r="N31" s="1" t="s">
        <v>88</v>
      </c>
      <c r="O31" s="1" t="s">
        <v>199</v>
      </c>
      <c r="P31" s="1" t="s">
        <v>200</v>
      </c>
      <c r="R31" s="1" t="s">
        <v>350</v>
      </c>
      <c r="V31" s="7" t="s">
        <v>204</v>
      </c>
      <c r="W31" s="7" t="s">
        <v>202</v>
      </c>
      <c r="X31" s="7" t="s">
        <v>403</v>
      </c>
    </row>
    <row r="32" spans="1:26" x14ac:dyDescent="0.4">
      <c r="V32" s="7" t="s">
        <v>384</v>
      </c>
      <c r="W32" s="7" t="s">
        <v>426</v>
      </c>
      <c r="X32" s="7" t="s">
        <v>449</v>
      </c>
    </row>
    <row r="33" spans="1:26" x14ac:dyDescent="0.4">
      <c r="A33" s="1" t="s">
        <v>232</v>
      </c>
      <c r="C33" s="1" t="s">
        <v>486</v>
      </c>
      <c r="D33" s="1" t="str">
        <f t="shared" ref="D33" si="12">"abilities/enemy/"&amp;A33</f>
        <v>abilities/enemy/slardar_run</v>
      </c>
      <c r="E33" s="1" t="s">
        <v>295</v>
      </c>
      <c r="G33" s="1">
        <v>5</v>
      </c>
      <c r="N33" s="1" t="s">
        <v>0</v>
      </c>
    </row>
    <row r="35" spans="1:26" x14ac:dyDescent="0.4">
      <c r="A35" s="1" t="s">
        <v>233</v>
      </c>
      <c r="C35" s="1" t="s">
        <v>486</v>
      </c>
      <c r="D35" s="1" t="str">
        <f t="shared" ref="D35" si="13">"abilities/enemy/"&amp;A35</f>
        <v>abilities/enemy/roshan_strike</v>
      </c>
      <c r="E35" s="1" t="s">
        <v>296</v>
      </c>
      <c r="G35" s="1">
        <v>5</v>
      </c>
      <c r="H35" s="1" t="s">
        <v>338</v>
      </c>
      <c r="J35" s="1">
        <v>0.3</v>
      </c>
      <c r="K35" s="1">
        <v>15</v>
      </c>
      <c r="L35" s="1">
        <v>60</v>
      </c>
      <c r="N35" s="1" t="s">
        <v>88</v>
      </c>
      <c r="O35" s="1" t="s">
        <v>199</v>
      </c>
      <c r="P35" s="1" t="s">
        <v>200</v>
      </c>
      <c r="R35" s="1" t="s">
        <v>350</v>
      </c>
      <c r="V35" s="7" t="s">
        <v>204</v>
      </c>
      <c r="W35" s="7" t="s">
        <v>202</v>
      </c>
    </row>
    <row r="36" spans="1:26" x14ac:dyDescent="0.4">
      <c r="V36" s="7" t="s">
        <v>385</v>
      </c>
      <c r="W36" s="7" t="s">
        <v>427</v>
      </c>
    </row>
    <row r="37" spans="1:26" x14ac:dyDescent="0.4">
      <c r="A37" s="1" t="s">
        <v>234</v>
      </c>
      <c r="C37" s="1" t="s">
        <v>486</v>
      </c>
      <c r="D37" s="1" t="str">
        <f t="shared" ref="D37" si="14">"abilities/enemy/"&amp;A37</f>
        <v>abilities/enemy/roshan_shock</v>
      </c>
      <c r="E37" s="1" t="s">
        <v>297</v>
      </c>
      <c r="G37" s="1">
        <v>5</v>
      </c>
      <c r="H37" s="1" t="s">
        <v>338</v>
      </c>
      <c r="J37" s="1">
        <v>0.3</v>
      </c>
      <c r="K37" s="1">
        <v>15</v>
      </c>
      <c r="L37" s="1">
        <v>60</v>
      </c>
      <c r="N37" s="1" t="s">
        <v>88</v>
      </c>
      <c r="O37" s="1" t="s">
        <v>199</v>
      </c>
      <c r="P37" s="1" t="s">
        <v>200</v>
      </c>
      <c r="Q37" s="1" t="s">
        <v>348</v>
      </c>
      <c r="R37" s="1" t="s">
        <v>350</v>
      </c>
      <c r="V37" s="7" t="s">
        <v>353</v>
      </c>
      <c r="W37" s="7" t="s">
        <v>202</v>
      </c>
      <c r="X37" s="7" t="s">
        <v>355</v>
      </c>
      <c r="Y37" s="7" t="s">
        <v>457</v>
      </c>
      <c r="Z37" s="7" t="s">
        <v>403</v>
      </c>
    </row>
    <row r="38" spans="1:26" x14ac:dyDescent="0.4">
      <c r="V38" s="7" t="s">
        <v>386</v>
      </c>
      <c r="W38" s="7" t="s">
        <v>381</v>
      </c>
      <c r="X38" s="7">
        <v>-1500</v>
      </c>
      <c r="Y38" s="7" t="s">
        <v>372</v>
      </c>
      <c r="Z38" s="7" t="s">
        <v>479</v>
      </c>
    </row>
    <row r="39" spans="1:26" x14ac:dyDescent="0.4">
      <c r="A39" s="1" t="s">
        <v>235</v>
      </c>
      <c r="C39" s="1" t="s">
        <v>486</v>
      </c>
      <c r="D39" s="1" t="str">
        <f t="shared" ref="D39" si="15">"abilities/enemy/"&amp;A39</f>
        <v>abilities/enemy/mubei</v>
      </c>
      <c r="E39" s="1" t="s">
        <v>298</v>
      </c>
      <c r="G39" s="1">
        <v>5</v>
      </c>
      <c r="H39" s="1" t="s">
        <v>214</v>
      </c>
      <c r="I39" s="1">
        <v>600</v>
      </c>
      <c r="J39" s="1">
        <v>0.3</v>
      </c>
      <c r="K39" s="1">
        <v>60</v>
      </c>
      <c r="L39" s="1">
        <v>0</v>
      </c>
      <c r="N39" s="1" t="s">
        <v>0</v>
      </c>
      <c r="V39" s="7" t="s">
        <v>356</v>
      </c>
      <c r="W39" s="7" t="s">
        <v>202</v>
      </c>
      <c r="X39" s="7" t="s">
        <v>403</v>
      </c>
      <c r="Y39" s="7" t="s">
        <v>391</v>
      </c>
      <c r="Z39" s="7" t="s">
        <v>480</v>
      </c>
    </row>
    <row r="40" spans="1:26" x14ac:dyDescent="0.4">
      <c r="V40" s="7" t="s">
        <v>387</v>
      </c>
      <c r="W40" s="7" t="s">
        <v>381</v>
      </c>
      <c r="X40" s="7" t="s">
        <v>450</v>
      </c>
      <c r="Y40" s="7" t="s">
        <v>465</v>
      </c>
      <c r="Z40" s="7" t="s">
        <v>481</v>
      </c>
    </row>
    <row r="41" spans="1:26" x14ac:dyDescent="0.4">
      <c r="A41" s="1" t="s">
        <v>236</v>
      </c>
      <c r="C41" s="1" t="s">
        <v>486</v>
      </c>
      <c r="D41" s="1" t="str">
        <f t="shared" ref="D41" si="16">"abilities/enemy/"&amp;A41</f>
        <v>abilities/enemy/shiwangchouxue</v>
      </c>
      <c r="E41" s="1" t="s">
        <v>299</v>
      </c>
      <c r="G41" s="1">
        <v>5</v>
      </c>
      <c r="H41" s="1" t="s">
        <v>339</v>
      </c>
      <c r="J41" s="1">
        <v>0.3</v>
      </c>
      <c r="K41" s="1">
        <v>3</v>
      </c>
      <c r="L41" s="1">
        <v>100</v>
      </c>
      <c r="N41" s="1" t="s">
        <v>88</v>
      </c>
      <c r="O41" s="1" t="s">
        <v>199</v>
      </c>
      <c r="P41" s="1" t="s">
        <v>200</v>
      </c>
      <c r="R41" s="1" t="s">
        <v>350</v>
      </c>
      <c r="V41" s="7" t="s">
        <v>204</v>
      </c>
      <c r="W41" s="7" t="s">
        <v>356</v>
      </c>
      <c r="X41" s="7" t="s">
        <v>202</v>
      </c>
    </row>
    <row r="42" spans="1:26" x14ac:dyDescent="0.4">
      <c r="V42" s="7" t="s">
        <v>388</v>
      </c>
      <c r="W42" s="7" t="s">
        <v>388</v>
      </c>
      <c r="X42" s="7" t="s">
        <v>451</v>
      </c>
    </row>
    <row r="43" spans="1:26" x14ac:dyDescent="0.4">
      <c r="A43" s="1" t="s">
        <v>237</v>
      </c>
      <c r="C43" s="1" t="s">
        <v>486</v>
      </c>
      <c r="D43" s="1" t="str">
        <f t="shared" ref="D43" si="17">"abilities/enemy/"&amp;A43</f>
        <v>abilities/enemy/fulan</v>
      </c>
      <c r="E43" s="1" t="s">
        <v>300</v>
      </c>
      <c r="G43" s="1">
        <v>5</v>
      </c>
      <c r="N43" s="1" t="s">
        <v>88</v>
      </c>
      <c r="O43" s="1" t="s">
        <v>199</v>
      </c>
      <c r="P43" s="1" t="s">
        <v>200</v>
      </c>
      <c r="R43" s="1" t="s">
        <v>350</v>
      </c>
      <c r="V43" s="7" t="s">
        <v>204</v>
      </c>
      <c r="W43" s="7" t="s">
        <v>202</v>
      </c>
      <c r="X43" s="7" t="s">
        <v>355</v>
      </c>
    </row>
    <row r="44" spans="1:26" x14ac:dyDescent="0.4">
      <c r="V44" s="7" t="s">
        <v>389</v>
      </c>
      <c r="W44" s="7" t="s">
        <v>426</v>
      </c>
      <c r="X44" s="7">
        <v>-700</v>
      </c>
    </row>
    <row r="45" spans="1:26" x14ac:dyDescent="0.4">
      <c r="A45" s="1" t="s">
        <v>238</v>
      </c>
      <c r="C45" s="1" t="s">
        <v>486</v>
      </c>
      <c r="D45" s="1" t="str">
        <f t="shared" ref="D45" si="18">"abilities/enemy/"&amp;A45</f>
        <v>abilities/enemy/boss_clear</v>
      </c>
      <c r="E45" s="1" t="s">
        <v>302</v>
      </c>
      <c r="G45" s="1">
        <v>5</v>
      </c>
      <c r="N45" s="1" t="s">
        <v>0</v>
      </c>
      <c r="O45" s="1" t="s">
        <v>199</v>
      </c>
      <c r="P45" s="1" t="s">
        <v>200</v>
      </c>
      <c r="V45" s="7" t="s">
        <v>390</v>
      </c>
      <c r="W45" s="7" t="s">
        <v>403</v>
      </c>
    </row>
    <row r="46" spans="1:26" x14ac:dyDescent="0.4">
      <c r="V46" s="7">
        <v>5</v>
      </c>
      <c r="W46" s="7">
        <v>1.5</v>
      </c>
    </row>
    <row r="47" spans="1:26" x14ac:dyDescent="0.4">
      <c r="A47" s="1" t="s">
        <v>239</v>
      </c>
      <c r="C47" s="1" t="s">
        <v>486</v>
      </c>
      <c r="D47" s="1" t="str">
        <f t="shared" ref="D47" si="19">"abilities/enemy/"&amp;A47</f>
        <v>abilities/enemy/boss_blink</v>
      </c>
      <c r="E47" s="1" t="s">
        <v>303</v>
      </c>
      <c r="G47" s="1">
        <v>5</v>
      </c>
      <c r="K47" s="1" t="s">
        <v>343</v>
      </c>
      <c r="M47" s="1" t="s">
        <v>344</v>
      </c>
      <c r="N47" s="1" t="s">
        <v>345</v>
      </c>
      <c r="P47" s="1" t="s">
        <v>200</v>
      </c>
      <c r="V47" s="7" t="s">
        <v>391</v>
      </c>
      <c r="W47" s="7" t="s">
        <v>403</v>
      </c>
    </row>
    <row r="48" spans="1:26" x14ac:dyDescent="0.4">
      <c r="V48" s="7" t="s">
        <v>343</v>
      </c>
      <c r="W48" s="7">
        <v>2</v>
      </c>
    </row>
    <row r="49" spans="1:29" x14ac:dyDescent="0.4">
      <c r="A49" s="1" t="s">
        <v>523</v>
      </c>
      <c r="C49" s="1" t="s">
        <v>486</v>
      </c>
      <c r="D49" s="1" t="str">
        <f t="shared" ref="D49" si="20">"abilities/enemy/"&amp;A49</f>
        <v>abilities/enemy/hades_1</v>
      </c>
      <c r="E49" s="1" t="s">
        <v>304</v>
      </c>
      <c r="G49" s="1">
        <v>5</v>
      </c>
      <c r="H49" s="1" t="s">
        <v>214</v>
      </c>
      <c r="I49" s="1">
        <v>1500</v>
      </c>
      <c r="J49" s="1">
        <v>0.1</v>
      </c>
      <c r="K49" s="1">
        <v>3</v>
      </c>
      <c r="N49" s="1" t="s">
        <v>88</v>
      </c>
      <c r="O49" s="1" t="s">
        <v>199</v>
      </c>
      <c r="P49" s="1" t="s">
        <v>200</v>
      </c>
      <c r="R49" s="1" t="s">
        <v>350</v>
      </c>
      <c r="U49" s="5" t="s">
        <v>380</v>
      </c>
      <c r="V49" s="7" t="s">
        <v>202</v>
      </c>
      <c r="W49" s="7" t="s">
        <v>369</v>
      </c>
      <c r="X49" s="7" t="s">
        <v>379</v>
      </c>
    </row>
    <row r="50" spans="1:29" x14ac:dyDescent="0.4">
      <c r="V50" s="7">
        <v>1500</v>
      </c>
      <c r="W50" s="7">
        <v>3</v>
      </c>
      <c r="X50" s="7">
        <v>400</v>
      </c>
    </row>
    <row r="51" spans="1:29" x14ac:dyDescent="0.4">
      <c r="A51" s="1" t="s">
        <v>524</v>
      </c>
      <c r="C51" s="1" t="s">
        <v>486</v>
      </c>
      <c r="D51" s="1" t="str">
        <f t="shared" ref="D51" si="21">"abilities/enemy/"&amp;A51</f>
        <v>abilities/enemy/hades_2</v>
      </c>
      <c r="E51" s="1" t="s">
        <v>301</v>
      </c>
      <c r="G51" s="1">
        <v>5</v>
      </c>
      <c r="N51" s="1" t="s">
        <v>0</v>
      </c>
      <c r="O51" s="1" t="s">
        <v>199</v>
      </c>
      <c r="P51" s="1" t="s">
        <v>200</v>
      </c>
      <c r="R51" s="1" t="s">
        <v>517</v>
      </c>
      <c r="V51" s="7" t="s">
        <v>371</v>
      </c>
      <c r="W51" s="7" t="s">
        <v>493</v>
      </c>
      <c r="X51" s="7" t="s">
        <v>390</v>
      </c>
      <c r="Y51" s="7" t="s">
        <v>403</v>
      </c>
      <c r="Z51" s="7" t="s">
        <v>202</v>
      </c>
    </row>
    <row r="52" spans="1:29" x14ac:dyDescent="0.4">
      <c r="V52" s="7" t="s">
        <v>513</v>
      </c>
      <c r="W52" s="7" t="s">
        <v>514</v>
      </c>
      <c r="X52" s="7">
        <v>0.25</v>
      </c>
      <c r="Y52" s="7" t="s">
        <v>466</v>
      </c>
      <c r="Z52" s="7">
        <v>1200</v>
      </c>
    </row>
    <row r="53" spans="1:29" x14ac:dyDescent="0.4">
      <c r="A53" s="1" t="s">
        <v>525</v>
      </c>
      <c r="C53" s="1" t="s">
        <v>486</v>
      </c>
      <c r="D53" s="1" t="str">
        <f t="shared" ref="D53" si="22">"abilities/enemy/"&amp;A53</f>
        <v>abilities/enemy/hades_3</v>
      </c>
      <c r="E53" s="1" t="s">
        <v>305</v>
      </c>
      <c r="G53" s="1">
        <v>5</v>
      </c>
      <c r="H53" s="1" t="s">
        <v>214</v>
      </c>
      <c r="I53" s="1">
        <v>1200</v>
      </c>
      <c r="J53" s="1">
        <v>0.3</v>
      </c>
      <c r="K53" s="1" t="s">
        <v>343</v>
      </c>
      <c r="N53" s="1" t="s">
        <v>5</v>
      </c>
      <c r="O53" s="1" t="s">
        <v>199</v>
      </c>
      <c r="P53" s="1" t="s">
        <v>200</v>
      </c>
      <c r="T53" s="10">
        <v>4</v>
      </c>
      <c r="V53" s="7" t="s">
        <v>201</v>
      </c>
    </row>
    <row r="54" spans="1:29" x14ac:dyDescent="0.4">
      <c r="V54" s="7">
        <v>3</v>
      </c>
    </row>
    <row r="55" spans="1:29" x14ac:dyDescent="0.4">
      <c r="A55" s="1" t="s">
        <v>518</v>
      </c>
      <c r="C55" s="1" t="s">
        <v>486</v>
      </c>
      <c r="D55" s="1" t="str">
        <f t="shared" ref="D55" si="23">"abilities/enemy/"&amp;A55</f>
        <v>abilities/enemy/hades_4</v>
      </c>
      <c r="E55" s="1" t="s">
        <v>306</v>
      </c>
      <c r="G55" s="1">
        <v>5</v>
      </c>
      <c r="H55" s="1" t="s">
        <v>337</v>
      </c>
      <c r="I55" s="1">
        <v>1200</v>
      </c>
      <c r="J55" s="1">
        <v>0.55000000000000004</v>
      </c>
      <c r="K55" s="1" t="s">
        <v>343</v>
      </c>
      <c r="N55" s="1" t="s">
        <v>5</v>
      </c>
      <c r="O55" s="1" t="s">
        <v>199</v>
      </c>
      <c r="P55" s="1" t="s">
        <v>200</v>
      </c>
      <c r="R55" s="1" t="s">
        <v>350</v>
      </c>
      <c r="V55" s="7" t="s">
        <v>515</v>
      </c>
      <c r="W55" s="7" t="s">
        <v>201</v>
      </c>
    </row>
    <row r="56" spans="1:29" x14ac:dyDescent="0.4">
      <c r="V56" s="7" t="s">
        <v>516</v>
      </c>
      <c r="W56" s="7">
        <v>1.5</v>
      </c>
    </row>
    <row r="57" spans="1:29" x14ac:dyDescent="0.4">
      <c r="A57" s="1" t="s">
        <v>240</v>
      </c>
      <c r="B57" s="1" t="s">
        <v>500</v>
      </c>
      <c r="C57" s="1" t="s">
        <v>486</v>
      </c>
      <c r="D57" s="1" t="str">
        <f t="shared" ref="D57" si="24">"abilities/enemy/"&amp;A57</f>
        <v>abilities/enemy/angry_water</v>
      </c>
      <c r="E57" s="1" t="s">
        <v>307</v>
      </c>
      <c r="G57" s="1">
        <v>5</v>
      </c>
      <c r="J57" s="1">
        <v>0.3</v>
      </c>
      <c r="K57" s="1">
        <v>15</v>
      </c>
      <c r="L57" s="1">
        <v>200</v>
      </c>
      <c r="N57" s="1" t="s">
        <v>88</v>
      </c>
      <c r="O57" s="1" t="s">
        <v>199</v>
      </c>
      <c r="P57" s="1" t="s">
        <v>200</v>
      </c>
      <c r="R57" s="1" t="s">
        <v>350</v>
      </c>
      <c r="T57" s="10" t="s">
        <v>447</v>
      </c>
      <c r="U57" s="5" t="s">
        <v>392</v>
      </c>
      <c r="V57" s="7" t="s">
        <v>428</v>
      </c>
      <c r="W57" s="7" t="s">
        <v>452</v>
      </c>
      <c r="X57" s="7" t="s">
        <v>436</v>
      </c>
      <c r="Y57" s="7" t="s">
        <v>201</v>
      </c>
      <c r="Z57" s="7" t="s">
        <v>501</v>
      </c>
      <c r="AA57" s="7" t="s">
        <v>502</v>
      </c>
      <c r="AB57" s="7" t="s">
        <v>503</v>
      </c>
      <c r="AC57" s="7" t="s">
        <v>202</v>
      </c>
    </row>
    <row r="58" spans="1:29" x14ac:dyDescent="0.4">
      <c r="V58" s="7" t="s">
        <v>412</v>
      </c>
      <c r="W58" s="7" t="s">
        <v>470</v>
      </c>
      <c r="X58" s="7">
        <v>1.6</v>
      </c>
      <c r="Y58" s="7">
        <v>1.6</v>
      </c>
      <c r="Z58" s="7">
        <v>0.2</v>
      </c>
      <c r="AA58" s="7">
        <v>1100</v>
      </c>
      <c r="AB58" s="7">
        <v>3</v>
      </c>
      <c r="AC58" s="7">
        <v>225</v>
      </c>
    </row>
    <row r="59" spans="1:29" x14ac:dyDescent="0.4">
      <c r="A59" s="1" t="s">
        <v>241</v>
      </c>
      <c r="C59" s="1" t="s">
        <v>486</v>
      </c>
      <c r="D59" s="1" t="str">
        <f t="shared" ref="D59" si="25">"abilities/enemy/"&amp;A59</f>
        <v>abilities/enemy/water_ravage</v>
      </c>
      <c r="E59" s="1" t="s">
        <v>308</v>
      </c>
      <c r="G59" s="1">
        <v>5</v>
      </c>
      <c r="J59" s="1">
        <v>0.3</v>
      </c>
      <c r="K59" s="1">
        <v>15</v>
      </c>
      <c r="L59" s="1">
        <v>200</v>
      </c>
      <c r="N59" s="1" t="s">
        <v>88</v>
      </c>
      <c r="O59" s="1" t="s">
        <v>199</v>
      </c>
      <c r="P59" s="1" t="s">
        <v>200</v>
      </c>
      <c r="R59" s="1" t="s">
        <v>350</v>
      </c>
      <c r="U59" s="5" t="s">
        <v>393</v>
      </c>
      <c r="V59" s="7" t="s">
        <v>379</v>
      </c>
      <c r="W59" s="7" t="s">
        <v>403</v>
      </c>
      <c r="X59" s="7" t="s">
        <v>202</v>
      </c>
    </row>
    <row r="60" spans="1:29" x14ac:dyDescent="0.4">
      <c r="V60" s="7">
        <v>725</v>
      </c>
      <c r="W60" s="7" t="s">
        <v>510</v>
      </c>
      <c r="X60" s="7">
        <v>1250</v>
      </c>
    </row>
    <row r="61" spans="1:29" x14ac:dyDescent="0.4">
      <c r="A61" s="1" t="s">
        <v>242</v>
      </c>
      <c r="C61" s="1" t="s">
        <v>486</v>
      </c>
      <c r="D61" s="1" t="str">
        <f t="shared" ref="D61" si="26">"abilities/enemy/"&amp;A61</f>
        <v>abilities/enemy/water_blade</v>
      </c>
      <c r="E61" s="1" t="s">
        <v>309</v>
      </c>
      <c r="G61" s="1">
        <v>5</v>
      </c>
      <c r="K61" s="1" t="s">
        <v>509</v>
      </c>
      <c r="N61" s="1" t="s">
        <v>0</v>
      </c>
      <c r="V61" s="7" t="s">
        <v>504</v>
      </c>
      <c r="W61" s="7" t="s">
        <v>505</v>
      </c>
      <c r="X61" s="7" t="s">
        <v>506</v>
      </c>
      <c r="Y61" s="7" t="s">
        <v>511</v>
      </c>
      <c r="Z61" s="7" t="s">
        <v>512</v>
      </c>
    </row>
    <row r="62" spans="1:29" x14ac:dyDescent="0.4">
      <c r="V62" s="7">
        <v>150</v>
      </c>
      <c r="W62" s="7">
        <v>650</v>
      </c>
      <c r="X62" s="7">
        <v>1500</v>
      </c>
      <c r="Y62" s="7" t="s">
        <v>507</v>
      </c>
      <c r="Z62" s="7" t="s">
        <v>508</v>
      </c>
    </row>
    <row r="63" spans="1:29" x14ac:dyDescent="0.4">
      <c r="A63" s="1" t="s">
        <v>243</v>
      </c>
      <c r="C63" s="1" t="s">
        <v>486</v>
      </c>
      <c r="D63" s="1" t="str">
        <f t="shared" ref="D63" si="27">"abilities/enemy/"&amp;A63</f>
        <v>abilities/enemy/lightning_attack</v>
      </c>
      <c r="E63" s="1" t="s">
        <v>310</v>
      </c>
      <c r="G63" s="1">
        <v>5</v>
      </c>
      <c r="H63" s="1" t="s">
        <v>214</v>
      </c>
      <c r="I63" s="1">
        <v>900</v>
      </c>
      <c r="J63" s="1">
        <v>0.2</v>
      </c>
      <c r="K63" s="1">
        <v>1.25</v>
      </c>
      <c r="L63" s="1">
        <v>200</v>
      </c>
      <c r="N63" s="1" t="s">
        <v>5</v>
      </c>
      <c r="O63" s="1" t="s">
        <v>199</v>
      </c>
      <c r="P63" s="1" t="s">
        <v>200</v>
      </c>
      <c r="R63" s="1" t="s">
        <v>350</v>
      </c>
      <c r="V63" s="7" t="s">
        <v>204</v>
      </c>
      <c r="W63" s="7" t="s">
        <v>202</v>
      </c>
      <c r="X63" s="7" t="s">
        <v>453</v>
      </c>
      <c r="Y63" s="7" t="s">
        <v>467</v>
      </c>
    </row>
    <row r="64" spans="1:29" x14ac:dyDescent="0.4">
      <c r="V64" s="7" t="s">
        <v>394</v>
      </c>
      <c r="W64" s="7" t="s">
        <v>381</v>
      </c>
      <c r="X64" s="7" t="s">
        <v>454</v>
      </c>
      <c r="Y64" s="7" t="s">
        <v>468</v>
      </c>
    </row>
    <row r="65" spans="1:26" x14ac:dyDescent="0.4">
      <c r="A65" s="1" t="s">
        <v>244</v>
      </c>
      <c r="C65" s="1" t="s">
        <v>486</v>
      </c>
      <c r="D65" s="1" t="str">
        <f t="shared" ref="D65" si="28">"abilities/enemy/"&amp;A65</f>
        <v>abilities/enemy/lightning_crash</v>
      </c>
      <c r="E65" s="1" t="s">
        <v>311</v>
      </c>
      <c r="G65" s="1">
        <v>5</v>
      </c>
      <c r="H65" s="1" t="s">
        <v>214</v>
      </c>
      <c r="I65" s="1">
        <v>900</v>
      </c>
      <c r="J65" s="1">
        <v>0.2</v>
      </c>
      <c r="N65" s="1" t="s">
        <v>0</v>
      </c>
      <c r="O65" s="1" t="s">
        <v>199</v>
      </c>
      <c r="P65" s="1" t="s">
        <v>200</v>
      </c>
      <c r="R65" s="1" t="s">
        <v>350</v>
      </c>
      <c r="V65" s="7" t="s">
        <v>204</v>
      </c>
      <c r="W65" s="7" t="s">
        <v>429</v>
      </c>
      <c r="X65" s="7" t="s">
        <v>455</v>
      </c>
      <c r="Y65" s="7" t="s">
        <v>469</v>
      </c>
    </row>
    <row r="66" spans="1:26" x14ac:dyDescent="0.4">
      <c r="V66" s="7" t="s">
        <v>385</v>
      </c>
      <c r="W66" s="7" t="s">
        <v>430</v>
      </c>
      <c r="X66" s="7" t="s">
        <v>456</v>
      </c>
      <c r="Y66" s="7" t="s">
        <v>470</v>
      </c>
    </row>
    <row r="67" spans="1:26" x14ac:dyDescent="0.4">
      <c r="A67" s="1" t="s">
        <v>245</v>
      </c>
      <c r="C67" s="1" t="s">
        <v>486</v>
      </c>
      <c r="D67" s="1" t="str">
        <f t="shared" ref="D67" si="29">"abilities/enemy/"&amp;A67</f>
        <v>abilities/enemy/thunder_wrath</v>
      </c>
      <c r="E67" s="1" t="s">
        <v>312</v>
      </c>
      <c r="G67" s="1">
        <v>5</v>
      </c>
      <c r="J67" s="1">
        <v>0.4</v>
      </c>
      <c r="K67" s="1">
        <v>25</v>
      </c>
      <c r="L67" s="1">
        <v>200</v>
      </c>
      <c r="N67" s="1" t="s">
        <v>88</v>
      </c>
      <c r="O67" s="1" t="s">
        <v>199</v>
      </c>
      <c r="P67" s="1" t="s">
        <v>200</v>
      </c>
      <c r="R67" s="1" t="s">
        <v>350</v>
      </c>
      <c r="V67" s="7" t="s">
        <v>204</v>
      </c>
      <c r="W67" s="7" t="s">
        <v>403</v>
      </c>
      <c r="X67" s="7" t="s">
        <v>353</v>
      </c>
      <c r="Y67" s="7" t="s">
        <v>355</v>
      </c>
      <c r="Z67" s="7" t="s">
        <v>482</v>
      </c>
    </row>
    <row r="68" spans="1:26" x14ac:dyDescent="0.4">
      <c r="V68" s="7" t="s">
        <v>395</v>
      </c>
      <c r="W68" s="7" t="s">
        <v>431</v>
      </c>
      <c r="X68" s="7">
        <v>-8400</v>
      </c>
      <c r="Y68" s="7">
        <v>-1000</v>
      </c>
      <c r="Z68" s="7">
        <v>20</v>
      </c>
    </row>
    <row r="69" spans="1:26" x14ac:dyDescent="0.4">
      <c r="A69" s="1" t="s">
        <v>246</v>
      </c>
      <c r="C69" s="1" t="s">
        <v>486</v>
      </c>
      <c r="D69" s="1" t="str">
        <f t="shared" ref="D69" si="30">"abilities/enemy/"&amp;A69</f>
        <v>abilities/enemy/god_body</v>
      </c>
      <c r="E69" s="1" t="s">
        <v>313</v>
      </c>
      <c r="G69" s="1">
        <v>5</v>
      </c>
      <c r="J69" s="1">
        <v>0.1</v>
      </c>
      <c r="K69" s="1">
        <v>2</v>
      </c>
      <c r="L69" s="1">
        <v>200</v>
      </c>
      <c r="N69" s="1" t="s">
        <v>88</v>
      </c>
      <c r="O69" s="1" t="s">
        <v>199</v>
      </c>
      <c r="P69" s="1" t="s">
        <v>200</v>
      </c>
      <c r="V69" s="7" t="s">
        <v>396</v>
      </c>
      <c r="W69" s="7" t="s">
        <v>369</v>
      </c>
    </row>
    <row r="70" spans="1:26" x14ac:dyDescent="0.4">
      <c r="V70" s="7" t="s">
        <v>397</v>
      </c>
      <c r="W70" s="7" t="s">
        <v>372</v>
      </c>
    </row>
    <row r="71" spans="1:26" x14ac:dyDescent="0.4">
      <c r="A71" s="1" t="s">
        <v>247</v>
      </c>
      <c r="C71" s="1" t="s">
        <v>486</v>
      </c>
      <c r="D71" s="1" t="str">
        <f t="shared" ref="D71" si="31">"abilities/enemy/"&amp;A71</f>
        <v>abilities/enemy/electrostatic_field</v>
      </c>
      <c r="E71" s="1" t="s">
        <v>314</v>
      </c>
      <c r="G71" s="1">
        <v>5</v>
      </c>
      <c r="J71" s="1">
        <v>0.1</v>
      </c>
      <c r="K71" s="1">
        <v>25</v>
      </c>
      <c r="L71" s="1">
        <v>200</v>
      </c>
      <c r="N71" s="1" t="s">
        <v>88</v>
      </c>
      <c r="O71" s="1" t="s">
        <v>199</v>
      </c>
      <c r="P71" s="1" t="s">
        <v>200</v>
      </c>
      <c r="V71" s="7" t="s">
        <v>396</v>
      </c>
    </row>
    <row r="72" spans="1:26" x14ac:dyDescent="0.4">
      <c r="V72" s="7" t="s">
        <v>398</v>
      </c>
    </row>
    <row r="73" spans="1:26" x14ac:dyDescent="0.4">
      <c r="A73" s="1" t="s">
        <v>248</v>
      </c>
      <c r="C73" s="1" t="s">
        <v>486</v>
      </c>
      <c r="D73" s="1" t="str">
        <f t="shared" ref="D73" si="32">"abilities/enemy/"&amp;A73</f>
        <v>abilities/enemy/thunder_cloud</v>
      </c>
      <c r="E73" s="1" t="s">
        <v>315</v>
      </c>
      <c r="G73" s="1">
        <v>5</v>
      </c>
      <c r="J73" s="1">
        <v>0.1</v>
      </c>
      <c r="K73" s="1">
        <v>30</v>
      </c>
      <c r="L73" s="1">
        <v>200</v>
      </c>
      <c r="N73" s="1" t="s">
        <v>88</v>
      </c>
      <c r="O73" s="1" t="s">
        <v>199</v>
      </c>
      <c r="P73" s="1" t="s">
        <v>200</v>
      </c>
      <c r="V73" s="7" t="s">
        <v>204</v>
      </c>
      <c r="W73" s="7" t="s">
        <v>403</v>
      </c>
    </row>
    <row r="74" spans="1:26" x14ac:dyDescent="0.4">
      <c r="V74" s="7" t="s">
        <v>399</v>
      </c>
      <c r="W74" s="7" t="s">
        <v>432</v>
      </c>
    </row>
    <row r="75" spans="1:26" x14ac:dyDescent="0.4">
      <c r="A75" s="1" t="s">
        <v>249</v>
      </c>
      <c r="C75" s="1" t="s">
        <v>486</v>
      </c>
      <c r="D75" s="1" t="str">
        <f t="shared" ref="D75" si="33">"abilities/enemy/"&amp;A75</f>
        <v>abilities/enemy/golem_skin</v>
      </c>
      <c r="E75" s="1" t="s">
        <v>316</v>
      </c>
      <c r="G75" s="1">
        <v>5</v>
      </c>
      <c r="N75" s="1" t="s">
        <v>0</v>
      </c>
      <c r="V75" s="7" t="s">
        <v>400</v>
      </c>
    </row>
    <row r="76" spans="1:26" x14ac:dyDescent="0.4">
      <c r="V76" s="7" t="s">
        <v>401</v>
      </c>
    </row>
    <row r="77" spans="1:26" x14ac:dyDescent="0.4">
      <c r="A77" s="1" t="s">
        <v>250</v>
      </c>
      <c r="C77" s="1" t="s">
        <v>486</v>
      </c>
      <c r="D77" s="1" t="str">
        <f t="shared" ref="D77" si="34">"abilities/enemy/"&amp;A77</f>
        <v>abilities/enemy/golem_spilt</v>
      </c>
      <c r="E77" s="1" t="s">
        <v>317</v>
      </c>
      <c r="G77" s="1">
        <v>5</v>
      </c>
      <c r="N77" s="1" t="s">
        <v>0</v>
      </c>
    </row>
    <row r="79" spans="1:26" x14ac:dyDescent="0.4">
      <c r="A79" s="1" t="s">
        <v>251</v>
      </c>
      <c r="C79" s="1" t="s">
        <v>486</v>
      </c>
      <c r="D79" s="1" t="str">
        <f t="shared" ref="D79" si="35">"abilities/enemy/"&amp;A79</f>
        <v>abilities/enemy/scream_of_pain</v>
      </c>
      <c r="E79" s="1" t="s">
        <v>318</v>
      </c>
      <c r="G79" s="1">
        <v>5</v>
      </c>
      <c r="K79" s="1">
        <v>7</v>
      </c>
      <c r="L79" s="1">
        <v>110</v>
      </c>
      <c r="N79" s="1" t="s">
        <v>88</v>
      </c>
      <c r="O79" s="1" t="s">
        <v>199</v>
      </c>
      <c r="P79" s="1" t="s">
        <v>200</v>
      </c>
      <c r="R79" s="1" t="s">
        <v>350</v>
      </c>
      <c r="S79" s="1" t="s">
        <v>351</v>
      </c>
      <c r="V79" s="7" t="s">
        <v>402</v>
      </c>
      <c r="W79" s="7" t="s">
        <v>204</v>
      </c>
      <c r="X79" s="7" t="s">
        <v>457</v>
      </c>
      <c r="Y79" s="7" t="s">
        <v>202</v>
      </c>
    </row>
    <row r="80" spans="1:26" x14ac:dyDescent="0.4">
      <c r="V80" s="7">
        <v>900</v>
      </c>
      <c r="W80" s="7" t="s">
        <v>433</v>
      </c>
      <c r="X80" s="7">
        <v>1.5</v>
      </c>
      <c r="Y80" s="7">
        <v>600</v>
      </c>
    </row>
    <row r="81" spans="1:26" x14ac:dyDescent="0.4">
      <c r="A81" s="1" t="s">
        <v>252</v>
      </c>
      <c r="C81" s="1" t="s">
        <v>486</v>
      </c>
      <c r="D81" s="1" t="str">
        <f t="shared" ref="D81" si="36">"abilities/enemy/"&amp;A81</f>
        <v>abilities/enemy/queen_split</v>
      </c>
      <c r="E81" s="1" t="s">
        <v>319</v>
      </c>
      <c r="G81" s="1">
        <v>5</v>
      </c>
      <c r="K81" s="1">
        <v>40</v>
      </c>
      <c r="N81" s="1" t="s">
        <v>88</v>
      </c>
      <c r="O81" s="1" t="s">
        <v>199</v>
      </c>
      <c r="P81" s="1" t="s">
        <v>200</v>
      </c>
      <c r="V81" s="7" t="s">
        <v>403</v>
      </c>
      <c r="W81" s="7" t="s">
        <v>202</v>
      </c>
    </row>
    <row r="82" spans="1:26" x14ac:dyDescent="0.4">
      <c r="V82" s="7">
        <v>30</v>
      </c>
      <c r="W82" s="7">
        <v>600</v>
      </c>
    </row>
    <row r="83" spans="1:26" x14ac:dyDescent="0.4">
      <c r="A83" s="1" t="s">
        <v>253</v>
      </c>
      <c r="C83" s="1" t="s">
        <v>486</v>
      </c>
      <c r="D83" s="1" t="str">
        <f t="shared" ref="D83" si="37">"abilities/enemy/"&amp;A83</f>
        <v>abilities/enemy/shadow_strike</v>
      </c>
      <c r="E83" s="1" t="s">
        <v>320</v>
      </c>
      <c r="G83" s="1">
        <v>5</v>
      </c>
      <c r="N83" s="1" t="s">
        <v>0</v>
      </c>
      <c r="O83" s="1" t="s">
        <v>199</v>
      </c>
      <c r="P83" s="1" t="s">
        <v>200</v>
      </c>
      <c r="R83" s="1" t="s">
        <v>350</v>
      </c>
      <c r="V83" s="7" t="s">
        <v>201</v>
      </c>
      <c r="W83" s="7" t="s">
        <v>403</v>
      </c>
    </row>
    <row r="84" spans="1:26" x14ac:dyDescent="0.4">
      <c r="V84" s="7">
        <v>0.2</v>
      </c>
      <c r="W84" s="7">
        <v>0.8</v>
      </c>
    </row>
    <row r="85" spans="1:26" x14ac:dyDescent="0.4">
      <c r="A85" s="1" t="s">
        <v>254</v>
      </c>
      <c r="C85" s="1" t="s">
        <v>486</v>
      </c>
      <c r="D85" s="1" t="str">
        <f t="shared" ref="D85" si="38">"abilities/enemy/"&amp;A85</f>
        <v>abilities/enemy/great_cleave</v>
      </c>
      <c r="E85" s="1" t="s">
        <v>321</v>
      </c>
      <c r="G85" s="1">
        <v>5</v>
      </c>
      <c r="N85" s="1" t="s">
        <v>0</v>
      </c>
      <c r="S85" s="1" t="s">
        <v>213</v>
      </c>
      <c r="V85" s="7" t="s">
        <v>404</v>
      </c>
      <c r="W85" s="7" t="s">
        <v>434</v>
      </c>
    </row>
    <row r="86" spans="1:26" x14ac:dyDescent="0.4">
      <c r="V86" s="7">
        <v>300</v>
      </c>
      <c r="W86" s="7" t="s">
        <v>435</v>
      </c>
    </row>
    <row r="87" spans="1:26" x14ac:dyDescent="0.4">
      <c r="A87" s="1" t="s">
        <v>255</v>
      </c>
      <c r="C87" s="1" t="s">
        <v>486</v>
      </c>
      <c r="D87" s="1" t="str">
        <f t="shared" ref="D87" si="39">"abilities/enemy/"&amp;A87</f>
        <v>abilities/enemy/shock_wave</v>
      </c>
      <c r="E87" s="1" t="s">
        <v>322</v>
      </c>
      <c r="G87" s="1">
        <v>5</v>
      </c>
      <c r="H87" s="1" t="s">
        <v>214</v>
      </c>
      <c r="J87" s="1">
        <v>2</v>
      </c>
      <c r="K87" s="1">
        <v>8</v>
      </c>
      <c r="N87" s="1" t="s">
        <v>88</v>
      </c>
      <c r="O87" s="1" t="s">
        <v>199</v>
      </c>
      <c r="P87" s="1" t="s">
        <v>200</v>
      </c>
      <c r="R87" s="1" t="s">
        <v>350</v>
      </c>
      <c r="V87" s="7" t="s">
        <v>204</v>
      </c>
      <c r="W87" s="7" t="s">
        <v>202</v>
      </c>
      <c r="X87" s="7" t="s">
        <v>379</v>
      </c>
      <c r="Y87" s="7" t="s">
        <v>471</v>
      </c>
    </row>
    <row r="88" spans="1:26" x14ac:dyDescent="0.4">
      <c r="V88" s="7" t="s">
        <v>405</v>
      </c>
      <c r="W88" s="7">
        <v>600</v>
      </c>
      <c r="X88" s="7">
        <v>600</v>
      </c>
      <c r="Y88" s="7">
        <v>1200</v>
      </c>
    </row>
    <row r="89" spans="1:26" x14ac:dyDescent="0.4">
      <c r="A89" s="1" t="s">
        <v>256</v>
      </c>
      <c r="C89" s="1" t="s">
        <v>486</v>
      </c>
      <c r="D89" s="1" t="str">
        <f t="shared" ref="D89" si="40">"abilities/enemy/"&amp;A89</f>
        <v>abilities/enemy/earthshake</v>
      </c>
      <c r="E89" s="1" t="s">
        <v>323</v>
      </c>
      <c r="G89" s="1">
        <v>5</v>
      </c>
      <c r="K89" s="1">
        <v>8</v>
      </c>
      <c r="N89" s="1" t="s">
        <v>88</v>
      </c>
      <c r="O89" s="1" t="s">
        <v>199</v>
      </c>
      <c r="P89" s="1" t="s">
        <v>200</v>
      </c>
      <c r="R89" s="1" t="s">
        <v>350</v>
      </c>
      <c r="V89" s="7" t="s">
        <v>204</v>
      </c>
      <c r="W89" s="7" t="s">
        <v>436</v>
      </c>
      <c r="X89" s="7" t="s">
        <v>202</v>
      </c>
    </row>
    <row r="90" spans="1:26" x14ac:dyDescent="0.4">
      <c r="V90" s="7">
        <v>80</v>
      </c>
      <c r="W90" s="7">
        <v>4</v>
      </c>
      <c r="X90" s="7">
        <v>1200</v>
      </c>
    </row>
    <row r="91" spans="1:26" x14ac:dyDescent="0.4">
      <c r="A91" s="1" t="s">
        <v>257</v>
      </c>
      <c r="C91" s="1" t="s">
        <v>486</v>
      </c>
      <c r="D91" s="1" t="str">
        <f t="shared" ref="D91" si="41">"abilities/enemy/"&amp;A91</f>
        <v>abilities/enemy/enchant_totem</v>
      </c>
      <c r="E91" s="1" t="s">
        <v>324</v>
      </c>
      <c r="G91" s="1">
        <v>5</v>
      </c>
      <c r="H91" s="1" t="s">
        <v>203</v>
      </c>
      <c r="I91" s="1">
        <v>0</v>
      </c>
      <c r="J91" s="1" t="s">
        <v>340</v>
      </c>
      <c r="K91" s="1">
        <v>5</v>
      </c>
      <c r="L91" s="1">
        <v>50</v>
      </c>
      <c r="N91" s="1" t="s">
        <v>88</v>
      </c>
      <c r="O91" s="1" t="s">
        <v>199</v>
      </c>
      <c r="P91" s="1" t="s">
        <v>200</v>
      </c>
      <c r="R91" s="1" t="s">
        <v>350</v>
      </c>
      <c r="T91" s="10" t="s">
        <v>495</v>
      </c>
      <c r="U91" s="5" t="s">
        <v>499</v>
      </c>
      <c r="V91" s="7" t="s">
        <v>406</v>
      </c>
      <c r="W91" s="7" t="s">
        <v>403</v>
      </c>
      <c r="X91" s="7" t="s">
        <v>202</v>
      </c>
      <c r="Y91" s="7" t="s">
        <v>201</v>
      </c>
      <c r="Z91" s="7" t="s">
        <v>483</v>
      </c>
    </row>
    <row r="92" spans="1:26" x14ac:dyDescent="0.4">
      <c r="V92" s="7" t="s">
        <v>407</v>
      </c>
      <c r="W92" s="7">
        <v>6</v>
      </c>
      <c r="X92" s="7">
        <v>500</v>
      </c>
      <c r="Y92" s="7">
        <v>2</v>
      </c>
      <c r="Z92" s="7" t="s">
        <v>484</v>
      </c>
    </row>
    <row r="93" spans="1:26" x14ac:dyDescent="0.4">
      <c r="A93" s="1" t="s">
        <v>258</v>
      </c>
      <c r="C93" s="1" t="s">
        <v>486</v>
      </c>
      <c r="D93" s="1" t="str">
        <f t="shared" ref="D93" si="42">"abilities/enemy/"&amp;A93</f>
        <v>abilities/enemy/mana_purge</v>
      </c>
      <c r="E93" s="1" t="s">
        <v>291</v>
      </c>
      <c r="G93" s="1">
        <v>5</v>
      </c>
      <c r="I93" s="1">
        <v>900</v>
      </c>
      <c r="K93" s="1">
        <v>16</v>
      </c>
      <c r="L93" s="1">
        <v>100</v>
      </c>
      <c r="N93" s="1" t="s">
        <v>5</v>
      </c>
      <c r="O93" s="1" t="s">
        <v>199</v>
      </c>
      <c r="P93" s="1" t="s">
        <v>200</v>
      </c>
    </row>
    <row r="95" spans="1:26" x14ac:dyDescent="0.4">
      <c r="A95" s="1" t="s">
        <v>259</v>
      </c>
      <c r="C95" s="1" t="s">
        <v>486</v>
      </c>
      <c r="D95" s="1" t="str">
        <f t="shared" ref="D95" si="43">"abilities/enemy/"&amp;A95</f>
        <v>abilities/enemy/storm_bolt</v>
      </c>
      <c r="E95" s="1" t="s">
        <v>326</v>
      </c>
      <c r="G95" s="1">
        <v>5</v>
      </c>
      <c r="H95" s="1" t="s">
        <v>214</v>
      </c>
      <c r="I95" s="1">
        <v>600</v>
      </c>
      <c r="J95" s="1">
        <v>0.3</v>
      </c>
      <c r="K95" s="1">
        <v>6</v>
      </c>
      <c r="L95" s="1">
        <v>140</v>
      </c>
      <c r="N95" s="1" t="s">
        <v>5</v>
      </c>
      <c r="O95" s="1" t="s">
        <v>199</v>
      </c>
      <c r="P95" s="1" t="s">
        <v>200</v>
      </c>
      <c r="R95" s="1" t="s">
        <v>350</v>
      </c>
      <c r="S95" s="1" t="s">
        <v>351</v>
      </c>
      <c r="U95" s="5" t="s">
        <v>393</v>
      </c>
      <c r="V95" s="7" t="s">
        <v>408</v>
      </c>
      <c r="W95" s="7" t="s">
        <v>437</v>
      </c>
      <c r="X95" s="7" t="s">
        <v>458</v>
      </c>
      <c r="Y95" s="7" t="s">
        <v>472</v>
      </c>
    </row>
    <row r="96" spans="1:26" x14ac:dyDescent="0.4">
      <c r="V96" s="7">
        <v>1000</v>
      </c>
      <c r="W96" s="7">
        <v>2</v>
      </c>
      <c r="X96" s="7">
        <v>255</v>
      </c>
      <c r="Y96" s="7">
        <v>225</v>
      </c>
    </row>
    <row r="97" spans="1:29" x14ac:dyDescent="0.4">
      <c r="A97" s="1" t="s">
        <v>260</v>
      </c>
      <c r="C97" s="1" t="s">
        <v>486</v>
      </c>
      <c r="D97" s="1" t="str">
        <f t="shared" ref="D97" si="44">"abilities/enemy/"&amp;A97</f>
        <v>abilities/enemy/gush</v>
      </c>
      <c r="E97" s="1" t="s">
        <v>287</v>
      </c>
      <c r="G97" s="1">
        <v>5</v>
      </c>
      <c r="H97" s="1" t="s">
        <v>214</v>
      </c>
      <c r="I97" s="1">
        <v>700</v>
      </c>
      <c r="J97" s="1">
        <v>0.3</v>
      </c>
      <c r="K97" s="1">
        <v>12</v>
      </c>
      <c r="L97" s="1">
        <v>100</v>
      </c>
      <c r="N97" s="1" t="s">
        <v>5</v>
      </c>
      <c r="O97" s="1" t="s">
        <v>199</v>
      </c>
      <c r="P97" s="1" t="s">
        <v>200</v>
      </c>
      <c r="R97" s="1" t="s">
        <v>350</v>
      </c>
      <c r="S97" s="1" t="s">
        <v>351</v>
      </c>
      <c r="V97" s="7" t="s">
        <v>402</v>
      </c>
      <c r="W97" s="7" t="s">
        <v>438</v>
      </c>
      <c r="X97" s="7" t="s">
        <v>459</v>
      </c>
      <c r="Y97" s="7" t="s">
        <v>204</v>
      </c>
      <c r="Z97" s="7" t="s">
        <v>403</v>
      </c>
    </row>
    <row r="98" spans="1:29" x14ac:dyDescent="0.4">
      <c r="V98" s="7" t="s">
        <v>409</v>
      </c>
      <c r="W98" s="7">
        <v>-80</v>
      </c>
      <c r="X98" s="7">
        <v>-275</v>
      </c>
      <c r="Y98" s="7" t="s">
        <v>473</v>
      </c>
      <c r="Z98" s="7">
        <v>4</v>
      </c>
    </row>
    <row r="99" spans="1:29" x14ac:dyDescent="0.4">
      <c r="A99" s="1" t="s">
        <v>261</v>
      </c>
      <c r="C99" s="1" t="s">
        <v>486</v>
      </c>
      <c r="D99" s="1" t="str">
        <f t="shared" ref="D99" si="45">"abilities/enemy/"&amp;A99</f>
        <v>abilities/enemy/anchor_smash</v>
      </c>
      <c r="E99" s="1" t="s">
        <v>327</v>
      </c>
      <c r="G99" s="1">
        <v>5</v>
      </c>
      <c r="H99" s="1" t="s">
        <v>338</v>
      </c>
      <c r="I99" s="1">
        <v>400</v>
      </c>
      <c r="J99" s="1">
        <v>0.5</v>
      </c>
      <c r="K99" s="1">
        <v>4</v>
      </c>
      <c r="L99" s="1">
        <v>30</v>
      </c>
      <c r="N99" s="1" t="s">
        <v>88</v>
      </c>
      <c r="O99" s="1" t="s">
        <v>199</v>
      </c>
      <c r="P99" s="1" t="s">
        <v>200</v>
      </c>
      <c r="R99" s="1" t="s">
        <v>350</v>
      </c>
      <c r="S99" s="1" t="s">
        <v>213</v>
      </c>
      <c r="V99" s="7" t="s">
        <v>410</v>
      </c>
      <c r="W99" s="7" t="s">
        <v>439</v>
      </c>
      <c r="X99" s="7" t="s">
        <v>202</v>
      </c>
      <c r="Y99" s="7" t="s">
        <v>204</v>
      </c>
    </row>
    <row r="100" spans="1:29" x14ac:dyDescent="0.4">
      <c r="V100" s="7">
        <v>-60</v>
      </c>
      <c r="W100" s="7">
        <v>6</v>
      </c>
      <c r="X100" s="7">
        <v>400</v>
      </c>
      <c r="Y100" s="7" t="s">
        <v>473</v>
      </c>
    </row>
    <row r="101" spans="1:29" x14ac:dyDescent="0.4">
      <c r="A101" s="1" t="s">
        <v>262</v>
      </c>
      <c r="C101" s="1" t="s">
        <v>486</v>
      </c>
      <c r="D101" s="1" t="str">
        <f t="shared" ref="D101" si="46">"abilities/enemy/"&amp;A101</f>
        <v>abilities/enemy/warcry</v>
      </c>
      <c r="E101" s="1" t="s">
        <v>328</v>
      </c>
      <c r="G101" s="1">
        <v>5</v>
      </c>
      <c r="H101" s="1" t="s">
        <v>338</v>
      </c>
      <c r="I101" s="1">
        <v>900</v>
      </c>
      <c r="K101" s="1">
        <v>14</v>
      </c>
      <c r="L101" s="1">
        <v>25</v>
      </c>
      <c r="N101" s="1" t="s">
        <v>88</v>
      </c>
      <c r="O101" s="1" t="s">
        <v>199</v>
      </c>
      <c r="P101" s="1" t="s">
        <v>200</v>
      </c>
      <c r="R101" s="1" t="s">
        <v>350</v>
      </c>
      <c r="T101" s="10">
        <v>7</v>
      </c>
      <c r="V101" s="7" t="s">
        <v>411</v>
      </c>
      <c r="W101" s="7" t="s">
        <v>440</v>
      </c>
      <c r="X101" s="7" t="s">
        <v>202</v>
      </c>
      <c r="Y101" s="7" t="s">
        <v>474</v>
      </c>
    </row>
    <row r="102" spans="1:29" x14ac:dyDescent="0.4">
      <c r="V102" s="7" t="s">
        <v>412</v>
      </c>
      <c r="W102" s="7">
        <v>50</v>
      </c>
      <c r="X102" s="7">
        <v>900</v>
      </c>
      <c r="Y102" s="7" t="s">
        <v>475</v>
      </c>
    </row>
    <row r="103" spans="1:29" x14ac:dyDescent="0.4">
      <c r="A103" s="1" t="s">
        <v>263</v>
      </c>
      <c r="C103" s="1" t="s">
        <v>486</v>
      </c>
      <c r="D103" s="1" t="str">
        <f t="shared" ref="D103" si="47">"abilities/enemy/"&amp;A103</f>
        <v>abilities/enemy/gods_strength</v>
      </c>
      <c r="E103" s="1" t="s">
        <v>329</v>
      </c>
      <c r="F103" s="1" t="s">
        <v>336</v>
      </c>
      <c r="G103" s="1">
        <v>5</v>
      </c>
      <c r="H103" s="1" t="s">
        <v>337</v>
      </c>
      <c r="I103" s="1">
        <v>900</v>
      </c>
      <c r="J103" s="1">
        <v>0.3</v>
      </c>
      <c r="K103" s="1">
        <v>40</v>
      </c>
      <c r="L103" s="1">
        <v>100</v>
      </c>
      <c r="N103" s="1" t="s">
        <v>88</v>
      </c>
      <c r="O103" s="1" t="s">
        <v>199</v>
      </c>
      <c r="P103" s="1" t="s">
        <v>200</v>
      </c>
      <c r="R103" s="1" t="s">
        <v>350</v>
      </c>
      <c r="T103" s="10" t="s">
        <v>496</v>
      </c>
      <c r="V103" s="7" t="s">
        <v>413</v>
      </c>
      <c r="W103" s="7" t="s">
        <v>441</v>
      </c>
      <c r="X103" s="7" t="s">
        <v>202</v>
      </c>
    </row>
    <row r="104" spans="1:29" x14ac:dyDescent="0.4">
      <c r="V104" s="7" t="s">
        <v>414</v>
      </c>
      <c r="W104" s="7">
        <v>-1</v>
      </c>
      <c r="X104" s="7">
        <v>900</v>
      </c>
    </row>
    <row r="105" spans="1:29" x14ac:dyDescent="0.4">
      <c r="A105" s="1" t="s">
        <v>264</v>
      </c>
      <c r="C105" s="1" t="s">
        <v>486</v>
      </c>
      <c r="D105" s="1" t="str">
        <f t="shared" ref="D105" si="48">"abilities/enemy/"&amp;A105</f>
        <v>abilities/enemy/hunt</v>
      </c>
      <c r="E105" s="1" t="s">
        <v>330</v>
      </c>
      <c r="G105" s="1">
        <v>5</v>
      </c>
      <c r="N105" s="1" t="s">
        <v>0</v>
      </c>
      <c r="O105" s="1" t="s">
        <v>199</v>
      </c>
      <c r="P105" s="1" t="s">
        <v>200</v>
      </c>
      <c r="V105" s="7" t="s">
        <v>415</v>
      </c>
      <c r="W105" s="7" t="s">
        <v>366</v>
      </c>
      <c r="X105" s="7" t="s">
        <v>460</v>
      </c>
      <c r="Y105" s="7" t="s">
        <v>476</v>
      </c>
      <c r="Z105" s="7" t="s">
        <v>420</v>
      </c>
      <c r="AA105" s="7" t="s">
        <v>485</v>
      </c>
      <c r="AB105" s="7" t="s">
        <v>485</v>
      </c>
      <c r="AC105" s="7" t="s">
        <v>485</v>
      </c>
    </row>
    <row r="106" spans="1:29" x14ac:dyDescent="0.4">
      <c r="V106" s="7" t="s">
        <v>416</v>
      </c>
      <c r="W106" s="7">
        <v>-2250</v>
      </c>
      <c r="X106" s="7">
        <v>2</v>
      </c>
      <c r="Y106" s="7">
        <v>6</v>
      </c>
      <c r="Z106" s="7">
        <v>40</v>
      </c>
      <c r="AA106" s="7">
        <v>900</v>
      </c>
      <c r="AB106" s="7">
        <v>900</v>
      </c>
      <c r="AC106" s="7">
        <v>900</v>
      </c>
    </row>
    <row r="107" spans="1:29" x14ac:dyDescent="0.4">
      <c r="A107" s="1" t="s">
        <v>265</v>
      </c>
      <c r="C107" s="1" t="s">
        <v>486</v>
      </c>
      <c r="D107" s="1" t="str">
        <f t="shared" ref="D107" si="49">"abilities/enemy/"&amp;A107</f>
        <v>abilities/enemy/howl</v>
      </c>
      <c r="E107" s="1" t="s">
        <v>331</v>
      </c>
      <c r="G107" s="1">
        <v>5</v>
      </c>
      <c r="K107" s="1">
        <v>12</v>
      </c>
      <c r="N107" s="1" t="s">
        <v>0</v>
      </c>
      <c r="V107" s="7" t="s">
        <v>403</v>
      </c>
    </row>
    <row r="108" spans="1:29" x14ac:dyDescent="0.4">
      <c r="V108" s="7">
        <v>0.5</v>
      </c>
    </row>
    <row r="109" spans="1:29" x14ac:dyDescent="0.4">
      <c r="A109" s="1" t="s">
        <v>266</v>
      </c>
      <c r="C109" s="1" t="s">
        <v>486</v>
      </c>
      <c r="D109" s="1" t="str">
        <f t="shared" ref="D109" si="50">"abilities/enemy/"&amp;A109</f>
        <v>abilities/enemy/slience</v>
      </c>
      <c r="E109" s="1" t="s">
        <v>335</v>
      </c>
      <c r="G109" s="1">
        <v>5</v>
      </c>
      <c r="I109" s="1">
        <v>900</v>
      </c>
      <c r="J109" s="1" t="s">
        <v>341</v>
      </c>
      <c r="K109" s="1">
        <v>12</v>
      </c>
      <c r="L109" s="1">
        <v>0</v>
      </c>
      <c r="N109" s="1" t="s">
        <v>89</v>
      </c>
      <c r="O109" s="1" t="s">
        <v>199</v>
      </c>
      <c r="P109" s="1" t="s">
        <v>200</v>
      </c>
      <c r="S109" s="1" t="s">
        <v>351</v>
      </c>
      <c r="T109" s="10" t="s">
        <v>497</v>
      </c>
      <c r="V109" s="7" t="s">
        <v>202</v>
      </c>
      <c r="W109" s="7" t="s">
        <v>403</v>
      </c>
    </row>
    <row r="110" spans="1:29" x14ac:dyDescent="0.4">
      <c r="V110" s="7">
        <v>425</v>
      </c>
      <c r="W110" s="7" t="s">
        <v>443</v>
      </c>
    </row>
    <row r="111" spans="1:29" x14ac:dyDescent="0.4">
      <c r="A111" s="1" t="s">
        <v>519</v>
      </c>
      <c r="B111" s="1" t="s">
        <v>537</v>
      </c>
      <c r="C111" s="1" t="s">
        <v>486</v>
      </c>
      <c r="D111" s="1" t="str">
        <f t="shared" ref="D111" si="51">"abilities/enemy/"&amp;A111</f>
        <v>abilities/enemy/boss</v>
      </c>
      <c r="E111" s="1" t="s">
        <v>529</v>
      </c>
      <c r="G111" s="1">
        <v>5</v>
      </c>
      <c r="N111" s="1" t="s">
        <v>0</v>
      </c>
      <c r="T111" s="10">
        <v>5</v>
      </c>
      <c r="V111" s="7" t="s">
        <v>520</v>
      </c>
      <c r="W111" s="7" t="s">
        <v>521</v>
      </c>
    </row>
    <row r="112" spans="1:29" x14ac:dyDescent="0.4">
      <c r="V112" s="7">
        <v>30</v>
      </c>
      <c r="W112" s="7" t="s">
        <v>522</v>
      </c>
    </row>
    <row r="113" spans="1:28" x14ac:dyDescent="0.4">
      <c r="A113" s="1" t="s">
        <v>533</v>
      </c>
      <c r="B113" s="1" t="s">
        <v>532</v>
      </c>
      <c r="C113" s="1" t="s">
        <v>486</v>
      </c>
      <c r="D113" s="1" t="str">
        <f t="shared" ref="D113" si="52">"abilities/enemy/"&amp;A113</f>
        <v>abilities/enemy/captain</v>
      </c>
      <c r="E113" s="1" t="s">
        <v>540</v>
      </c>
      <c r="G113" s="1">
        <v>5</v>
      </c>
      <c r="N113" s="1" t="s">
        <v>0</v>
      </c>
      <c r="T113" s="10">
        <v>5</v>
      </c>
      <c r="V113" s="7" t="s">
        <v>520</v>
      </c>
      <c r="W113" s="7" t="s">
        <v>521</v>
      </c>
      <c r="X113" s="7" t="s">
        <v>534</v>
      </c>
      <c r="Y113" s="7" t="s">
        <v>535</v>
      </c>
      <c r="Z113" s="7" t="s">
        <v>536</v>
      </c>
      <c r="AA113" s="7" t="s">
        <v>355</v>
      </c>
      <c r="AB113" s="7" t="s">
        <v>353</v>
      </c>
    </row>
    <row r="114" spans="1:28" x14ac:dyDescent="0.4">
      <c r="V114" s="7">
        <v>60</v>
      </c>
      <c r="W114" s="7" t="s">
        <v>522</v>
      </c>
      <c r="X114" s="7">
        <v>25</v>
      </c>
      <c r="Y114" s="7" t="s">
        <v>446</v>
      </c>
      <c r="Z114" s="7">
        <v>1</v>
      </c>
      <c r="AA114" s="7">
        <v>-50</v>
      </c>
      <c r="AB114" s="7" t="s">
        <v>370</v>
      </c>
    </row>
    <row r="115" spans="1:28" x14ac:dyDescent="0.4">
      <c r="A115" s="1" t="s">
        <v>538</v>
      </c>
      <c r="B115" s="1" t="s">
        <v>539</v>
      </c>
      <c r="C115" s="1" t="s">
        <v>486</v>
      </c>
      <c r="D115" s="1" t="str">
        <f t="shared" ref="D115" si="53">"abilities/enemy/"&amp;A115</f>
        <v>abilities/enemy/elite</v>
      </c>
      <c r="E115" s="1" t="s">
        <v>541</v>
      </c>
      <c r="G115" s="1">
        <v>5</v>
      </c>
      <c r="N115" s="1" t="s">
        <v>0</v>
      </c>
      <c r="V115" s="7" t="s">
        <v>536</v>
      </c>
      <c r="W115" s="7" t="s">
        <v>355</v>
      </c>
      <c r="X115" s="7" t="s">
        <v>353</v>
      </c>
    </row>
    <row r="116" spans="1:28" x14ac:dyDescent="0.4">
      <c r="V116" s="7">
        <v>1</v>
      </c>
      <c r="W116" s="7">
        <v>-50</v>
      </c>
      <c r="X116" s="7" t="s">
        <v>370</v>
      </c>
    </row>
    <row r="117" spans="1:28" x14ac:dyDescent="0.4">
      <c r="A117" s="1" t="s">
        <v>546</v>
      </c>
      <c r="B117" s="1" t="s">
        <v>547</v>
      </c>
      <c r="C117" s="1" t="s">
        <v>486</v>
      </c>
      <c r="D117" s="1" t="str">
        <f t="shared" ref="D117" si="54">"abilities/enemy/"&amp;A117</f>
        <v>abilities/enemy/elite_4_1</v>
      </c>
      <c r="E117" s="1" t="s">
        <v>490</v>
      </c>
      <c r="G117" s="1">
        <v>5</v>
      </c>
      <c r="H117" s="1" t="s">
        <v>214</v>
      </c>
      <c r="I117" s="1">
        <v>300</v>
      </c>
      <c r="J117" s="1">
        <v>0.5</v>
      </c>
      <c r="K117" s="1">
        <v>8</v>
      </c>
      <c r="L117" s="1">
        <v>60</v>
      </c>
      <c r="N117" s="1" t="s">
        <v>5</v>
      </c>
      <c r="O117" s="1" t="s">
        <v>199</v>
      </c>
      <c r="P117" s="1" t="s">
        <v>200</v>
      </c>
      <c r="R117" s="1" t="s">
        <v>215</v>
      </c>
      <c r="S117" s="1" t="s">
        <v>213</v>
      </c>
      <c r="T117" s="10">
        <v>0.5</v>
      </c>
      <c r="U117" s="5" t="s">
        <v>491</v>
      </c>
    </row>
    <row r="119" spans="1:28" x14ac:dyDescent="0.4">
      <c r="A119" s="1" t="s">
        <v>544</v>
      </c>
      <c r="B119" s="1" t="s">
        <v>542</v>
      </c>
      <c r="C119" s="1" t="s">
        <v>486</v>
      </c>
      <c r="D119" s="1" t="str">
        <f t="shared" ref="D119" si="55">"abilities/enemy/"&amp;A119</f>
        <v>abilities/enemy/wave_5_1</v>
      </c>
      <c r="E119" s="1" t="s">
        <v>267</v>
      </c>
      <c r="G119" s="1">
        <v>5</v>
      </c>
      <c r="H119" s="1" t="s">
        <v>214</v>
      </c>
      <c r="I119" s="1">
        <v>900</v>
      </c>
      <c r="J119" s="1">
        <v>0.2</v>
      </c>
      <c r="K119" s="1">
        <v>12</v>
      </c>
      <c r="L119" s="1">
        <v>200</v>
      </c>
      <c r="N119" s="1" t="s">
        <v>5</v>
      </c>
      <c r="O119" s="1" t="s">
        <v>346</v>
      </c>
      <c r="P119" s="1" t="s">
        <v>200</v>
      </c>
      <c r="R119" s="1" t="s">
        <v>350</v>
      </c>
      <c r="T119" s="10">
        <v>5</v>
      </c>
      <c r="V119" s="7" t="s">
        <v>353</v>
      </c>
      <c r="W119" s="7" t="s">
        <v>202</v>
      </c>
    </row>
    <row r="120" spans="1:28" x14ac:dyDescent="0.4">
      <c r="V120" s="7" t="s">
        <v>401</v>
      </c>
      <c r="W120" s="7">
        <v>300</v>
      </c>
    </row>
    <row r="121" spans="1:28" x14ac:dyDescent="0.4">
      <c r="A121" s="1" t="s">
        <v>545</v>
      </c>
      <c r="B121" s="1" t="s">
        <v>543</v>
      </c>
      <c r="C121" s="1" t="s">
        <v>486</v>
      </c>
      <c r="D121" s="1" t="str">
        <f t="shared" ref="D121" si="56">"abilities/enemy/"&amp;A121</f>
        <v>abilities/enemy/wave_5_2</v>
      </c>
      <c r="E121" s="1" t="s">
        <v>216</v>
      </c>
      <c r="G121" s="1">
        <v>5</v>
      </c>
      <c r="H121" s="1" t="s">
        <v>214</v>
      </c>
      <c r="I121" s="1">
        <v>900</v>
      </c>
      <c r="J121" s="1">
        <v>0.2</v>
      </c>
      <c r="K121" s="1">
        <v>12</v>
      </c>
      <c r="L121" s="1">
        <v>200</v>
      </c>
      <c r="N121" s="1" t="s">
        <v>5</v>
      </c>
      <c r="O121" s="1" t="s">
        <v>199</v>
      </c>
      <c r="P121" s="1" t="s">
        <v>200</v>
      </c>
      <c r="R121" s="1" t="s">
        <v>350</v>
      </c>
      <c r="T121" s="10" t="s">
        <v>489</v>
      </c>
      <c r="V121" s="7" t="s">
        <v>355</v>
      </c>
    </row>
    <row r="122" spans="1:28" x14ac:dyDescent="0.4">
      <c r="V122" s="7" t="s">
        <v>401</v>
      </c>
    </row>
    <row r="123" spans="1:28" x14ac:dyDescent="0.4">
      <c r="A123" s="1" t="s">
        <v>549</v>
      </c>
      <c r="B123" s="1" t="s">
        <v>548</v>
      </c>
      <c r="C123" s="1" t="s">
        <v>486</v>
      </c>
      <c r="D123" s="1" t="str">
        <f t="shared" ref="D123" si="57">"abilities/enemy/"&amp;A123</f>
        <v>abilities/enemy/wave_7_1</v>
      </c>
      <c r="E123" s="1" t="s">
        <v>268</v>
      </c>
      <c r="G123" s="1">
        <v>5</v>
      </c>
      <c r="H123" s="1" t="s">
        <v>214</v>
      </c>
      <c r="I123" s="1">
        <v>900</v>
      </c>
      <c r="J123" s="1">
        <v>0.2</v>
      </c>
      <c r="K123" s="1">
        <v>12</v>
      </c>
      <c r="L123" s="1">
        <v>200</v>
      </c>
      <c r="N123" s="1" t="s">
        <v>5</v>
      </c>
      <c r="O123" s="1" t="s">
        <v>199</v>
      </c>
      <c r="P123" s="1" t="s">
        <v>200</v>
      </c>
      <c r="R123" s="1" t="s">
        <v>350</v>
      </c>
      <c r="U123" s="5" t="s">
        <v>354</v>
      </c>
    </row>
    <row r="125" spans="1:28" x14ac:dyDescent="0.4">
      <c r="A125" s="1" t="s">
        <v>550</v>
      </c>
      <c r="B125" s="1" t="s">
        <v>571</v>
      </c>
      <c r="C125" s="1" t="s">
        <v>486</v>
      </c>
      <c r="D125" s="1" t="str">
        <f t="shared" ref="D125" si="58">"abilities/enemy/"&amp;A125</f>
        <v>abilities/enemy/elite_7_1</v>
      </c>
      <c r="E125" s="1" t="s">
        <v>269</v>
      </c>
      <c r="G125" s="1">
        <v>5</v>
      </c>
      <c r="H125" s="1" t="s">
        <v>203</v>
      </c>
      <c r="I125" s="1">
        <v>900</v>
      </c>
      <c r="J125" s="1">
        <v>0</v>
      </c>
      <c r="K125" s="1">
        <v>30</v>
      </c>
      <c r="L125" s="1">
        <v>200</v>
      </c>
      <c r="N125" s="1" t="s">
        <v>5</v>
      </c>
      <c r="O125" s="1" t="s">
        <v>199</v>
      </c>
      <c r="P125" s="1" t="s">
        <v>200</v>
      </c>
      <c r="R125" s="1" t="s">
        <v>350</v>
      </c>
      <c r="S125" s="1" t="s">
        <v>351</v>
      </c>
      <c r="T125" s="10" t="s">
        <v>417</v>
      </c>
      <c r="V125" s="7" t="s">
        <v>355</v>
      </c>
    </row>
    <row r="126" spans="1:28" x14ac:dyDescent="0.4">
      <c r="V126" s="7">
        <v>100</v>
      </c>
    </row>
    <row r="127" spans="1:28" x14ac:dyDescent="0.4">
      <c r="A127" s="1" t="s">
        <v>566</v>
      </c>
      <c r="B127" s="1" t="s">
        <v>572</v>
      </c>
      <c r="C127" s="1" t="s">
        <v>486</v>
      </c>
      <c r="D127" s="1" t="str">
        <f t="shared" ref="D127" si="59">"abilities/enemy/"&amp;A127</f>
        <v>abilities/enemy/elite_7_2</v>
      </c>
      <c r="E127" s="1" t="s">
        <v>332</v>
      </c>
      <c r="G127" s="1">
        <v>5</v>
      </c>
      <c r="H127" s="1" t="s">
        <v>203</v>
      </c>
      <c r="I127" s="1">
        <v>500</v>
      </c>
      <c r="J127" s="1">
        <v>0.5</v>
      </c>
      <c r="K127" s="1">
        <v>16</v>
      </c>
      <c r="L127" s="1">
        <v>150</v>
      </c>
      <c r="N127" s="1" t="s">
        <v>5</v>
      </c>
      <c r="O127" s="1" t="s">
        <v>199</v>
      </c>
      <c r="P127" s="1" t="s">
        <v>200</v>
      </c>
      <c r="Q127" s="1" t="s">
        <v>349</v>
      </c>
      <c r="R127" s="1" t="s">
        <v>350</v>
      </c>
      <c r="S127" s="1" t="s">
        <v>352</v>
      </c>
      <c r="T127" s="10" t="s">
        <v>492</v>
      </c>
      <c r="U127" s="5" t="s">
        <v>445</v>
      </c>
      <c r="V127" s="7" t="s">
        <v>442</v>
      </c>
      <c r="W127" s="7" t="s">
        <v>493</v>
      </c>
    </row>
    <row r="128" spans="1:28" x14ac:dyDescent="0.4">
      <c r="V128" s="7">
        <v>1</v>
      </c>
      <c r="W128" s="7" t="s">
        <v>475</v>
      </c>
    </row>
    <row r="129" spans="1:24" x14ac:dyDescent="0.4">
      <c r="A129" s="1" t="s">
        <v>567</v>
      </c>
      <c r="B129" s="1" t="s">
        <v>573</v>
      </c>
      <c r="C129" s="1" t="s">
        <v>486</v>
      </c>
      <c r="D129" s="1" t="str">
        <f t="shared" ref="D129" si="60">"abilities/enemy/"&amp;A129</f>
        <v>abilities/enemy/elite_7_3</v>
      </c>
      <c r="E129" s="1" t="s">
        <v>333</v>
      </c>
      <c r="G129" s="1">
        <v>5</v>
      </c>
      <c r="H129" s="1" t="s">
        <v>338</v>
      </c>
      <c r="I129" s="1">
        <v>1200</v>
      </c>
      <c r="J129" s="1">
        <v>0.3</v>
      </c>
      <c r="K129" s="1">
        <v>12</v>
      </c>
      <c r="L129" s="1">
        <v>200</v>
      </c>
      <c r="N129" s="1" t="s">
        <v>89</v>
      </c>
      <c r="O129" s="1" t="s">
        <v>199</v>
      </c>
      <c r="P129" s="1" t="s">
        <v>200</v>
      </c>
      <c r="S129" s="1" t="s">
        <v>351</v>
      </c>
      <c r="T129" s="10">
        <v>6</v>
      </c>
      <c r="V129" s="7" t="s">
        <v>202</v>
      </c>
      <c r="W129" s="7" t="s">
        <v>461</v>
      </c>
    </row>
    <row r="130" spans="1:24" x14ac:dyDescent="0.4">
      <c r="V130" s="7">
        <v>900</v>
      </c>
      <c r="W130" s="7">
        <v>84</v>
      </c>
    </row>
    <row r="131" spans="1:24" x14ac:dyDescent="0.4">
      <c r="A131" s="1" t="s">
        <v>568</v>
      </c>
      <c r="B131" s="1" t="s">
        <v>574</v>
      </c>
      <c r="C131" s="1" t="s">
        <v>486</v>
      </c>
      <c r="D131" s="1" t="str">
        <f t="shared" ref="D131" si="61">"abilities/enemy/"&amp;A131</f>
        <v>abilities/enemy/elite_7_4</v>
      </c>
      <c r="E131" s="1" t="s">
        <v>334</v>
      </c>
      <c r="F131" s="1" t="s">
        <v>336</v>
      </c>
      <c r="G131" s="1">
        <v>5</v>
      </c>
      <c r="H131" s="1" t="s">
        <v>337</v>
      </c>
      <c r="I131" s="1">
        <v>1200</v>
      </c>
      <c r="J131" s="1">
        <v>0.3</v>
      </c>
      <c r="K131" s="1">
        <v>30</v>
      </c>
      <c r="L131" s="1">
        <v>300</v>
      </c>
      <c r="N131" s="1" t="s">
        <v>89</v>
      </c>
      <c r="O131" s="1" t="s">
        <v>199</v>
      </c>
      <c r="P131" s="1" t="s">
        <v>200</v>
      </c>
      <c r="R131" s="1" t="s">
        <v>350</v>
      </c>
      <c r="S131" s="1" t="s">
        <v>213</v>
      </c>
      <c r="T131" s="10">
        <v>2</v>
      </c>
      <c r="U131" s="5" t="s">
        <v>462</v>
      </c>
      <c r="V131" s="7" t="s">
        <v>202</v>
      </c>
      <c r="W131" s="7" t="s">
        <v>436</v>
      </c>
    </row>
    <row r="132" spans="1:24" x14ac:dyDescent="0.4">
      <c r="V132" s="7">
        <v>600</v>
      </c>
      <c r="W132" s="7">
        <v>1.3</v>
      </c>
    </row>
    <row r="133" spans="1:24" x14ac:dyDescent="0.4">
      <c r="A133" s="1" t="s">
        <v>526</v>
      </c>
      <c r="C133" s="1" t="s">
        <v>486</v>
      </c>
      <c r="D133" s="1" t="str">
        <f t="shared" ref="D133" si="62">"abilities/enemy/"&amp;A133</f>
        <v>abilities/enemy/elite_28_1</v>
      </c>
      <c r="E133" s="1" t="s">
        <v>280</v>
      </c>
      <c r="G133" s="1">
        <v>5</v>
      </c>
      <c r="H133" s="1" t="s">
        <v>530</v>
      </c>
      <c r="K133" s="1">
        <v>20</v>
      </c>
      <c r="N133" s="1" t="s">
        <v>88</v>
      </c>
      <c r="T133" s="10">
        <v>7.2</v>
      </c>
      <c r="V133" s="7" t="s">
        <v>369</v>
      </c>
    </row>
    <row r="134" spans="1:24" x14ac:dyDescent="0.4">
      <c r="V134" s="7" t="s">
        <v>370</v>
      </c>
    </row>
    <row r="135" spans="1:24" x14ac:dyDescent="0.4">
      <c r="A135" s="1" t="s">
        <v>527</v>
      </c>
      <c r="C135" s="1" t="s">
        <v>486</v>
      </c>
      <c r="D135" s="1" t="str">
        <f t="shared" ref="D135" si="63">"abilities/enemy/"&amp;A135</f>
        <v>abilities/enemy/elite_28_2</v>
      </c>
      <c r="E135" s="1" t="s">
        <v>531</v>
      </c>
      <c r="G135" s="1">
        <v>5</v>
      </c>
      <c r="H135" s="1" t="s">
        <v>338</v>
      </c>
      <c r="J135" s="1">
        <v>0.3</v>
      </c>
      <c r="K135" s="1">
        <v>10</v>
      </c>
      <c r="N135" s="1" t="s">
        <v>88</v>
      </c>
      <c r="O135" s="1" t="s">
        <v>347</v>
      </c>
      <c r="P135" s="1" t="s">
        <v>200</v>
      </c>
      <c r="V135" s="7" t="s">
        <v>528</v>
      </c>
      <c r="W135" s="7" t="s">
        <v>436</v>
      </c>
    </row>
    <row r="136" spans="1:24" x14ac:dyDescent="0.4">
      <c r="V136" s="7">
        <v>8</v>
      </c>
      <c r="W136" s="7">
        <v>2.5</v>
      </c>
    </row>
    <row r="137" spans="1:24" x14ac:dyDescent="0.4">
      <c r="A137" s="1" t="s">
        <v>551</v>
      </c>
      <c r="C137" s="1" t="s">
        <v>486</v>
      </c>
      <c r="D137" s="1" t="str">
        <f t="shared" ref="D137" si="64">"abilities/enemy/"&amp;A137</f>
        <v>abilities/enemy/wave_30_1</v>
      </c>
      <c r="E137" s="1" t="s">
        <v>281</v>
      </c>
      <c r="G137" s="1">
        <v>5</v>
      </c>
      <c r="N137" s="1" t="s">
        <v>0</v>
      </c>
      <c r="O137" s="1" t="s">
        <v>199</v>
      </c>
      <c r="P137" s="1" t="s">
        <v>200</v>
      </c>
      <c r="R137" s="1" t="s">
        <v>517</v>
      </c>
      <c r="V137" s="7" t="s">
        <v>371</v>
      </c>
    </row>
    <row r="138" spans="1:24" x14ac:dyDescent="0.4">
      <c r="V138" s="7" t="s">
        <v>372</v>
      </c>
    </row>
    <row r="139" spans="1:24" x14ac:dyDescent="0.4">
      <c r="A139" s="1" t="s">
        <v>569</v>
      </c>
      <c r="C139" s="1" t="s">
        <v>486</v>
      </c>
      <c r="D139" s="1" t="str">
        <f t="shared" ref="D139" si="65">"abilities/enemy/"&amp;A139</f>
        <v>abilities/enemy/wave_30_2</v>
      </c>
      <c r="E139" s="1" t="s">
        <v>282</v>
      </c>
      <c r="G139" s="1">
        <v>5</v>
      </c>
      <c r="N139" s="1" t="s">
        <v>0</v>
      </c>
      <c r="V139" s="7" t="s">
        <v>353</v>
      </c>
      <c r="W139" s="7" t="s">
        <v>355</v>
      </c>
      <c r="X139" s="7" t="s">
        <v>552</v>
      </c>
    </row>
    <row r="140" spans="1:24" x14ac:dyDescent="0.4">
      <c r="V140" s="7" t="s">
        <v>373</v>
      </c>
      <c r="W140" s="7" t="s">
        <v>422</v>
      </c>
      <c r="X140" s="7">
        <v>5</v>
      </c>
    </row>
    <row r="141" spans="1:24" x14ac:dyDescent="0.4">
      <c r="A141" s="1" t="s">
        <v>570</v>
      </c>
      <c r="C141" s="1" t="s">
        <v>486</v>
      </c>
      <c r="D141" s="1" t="str">
        <f t="shared" ref="D141" si="66">"abilities/enemy/"&amp;A141</f>
        <v>abilities/enemy/wave_30_3</v>
      </c>
      <c r="E141" s="1" t="s">
        <v>283</v>
      </c>
      <c r="G141" s="1">
        <v>5</v>
      </c>
      <c r="N141" s="1" t="s">
        <v>0</v>
      </c>
      <c r="O141" s="1" t="s">
        <v>199</v>
      </c>
      <c r="P141" s="1" t="s">
        <v>200</v>
      </c>
      <c r="R141" s="1" t="s">
        <v>350</v>
      </c>
      <c r="U141" s="5" t="s">
        <v>575</v>
      </c>
    </row>
    <row r="143" spans="1:24" x14ac:dyDescent="0.4">
      <c r="A143" s="1" t="s">
        <v>553</v>
      </c>
      <c r="B143" s="1" t="s">
        <v>559</v>
      </c>
      <c r="C143" s="1" t="s">
        <v>486</v>
      </c>
      <c r="D143" s="1" t="str">
        <f t="shared" ref="D143" si="67">"abilities/enemy/"&amp;A143</f>
        <v>abilities/enemy/elite_30_1</v>
      </c>
      <c r="E143" s="1" t="s">
        <v>291</v>
      </c>
      <c r="G143" s="1">
        <v>5</v>
      </c>
      <c r="H143" s="1" t="s">
        <v>214</v>
      </c>
      <c r="I143" s="1">
        <v>700</v>
      </c>
      <c r="J143" s="1">
        <v>0.3</v>
      </c>
      <c r="K143" s="1" t="s">
        <v>564</v>
      </c>
      <c r="L143" s="1">
        <v>0</v>
      </c>
      <c r="N143" s="1" t="s">
        <v>5</v>
      </c>
      <c r="O143" s="1" t="s">
        <v>199</v>
      </c>
      <c r="P143" s="1" t="s">
        <v>200</v>
      </c>
      <c r="Q143" s="1" t="s">
        <v>348</v>
      </c>
      <c r="R143" s="1" t="s">
        <v>350</v>
      </c>
      <c r="V143" s="7" t="s">
        <v>565</v>
      </c>
      <c r="W143" s="7" t="s">
        <v>587</v>
      </c>
    </row>
    <row r="144" spans="1:24" x14ac:dyDescent="0.4">
      <c r="V144" s="7" t="s">
        <v>370</v>
      </c>
      <c r="W144" s="7" t="s">
        <v>421</v>
      </c>
    </row>
    <row r="145" spans="1:25" x14ac:dyDescent="0.4">
      <c r="A145" s="1" t="s">
        <v>554</v>
      </c>
      <c r="B145" s="1" t="s">
        <v>556</v>
      </c>
      <c r="C145" s="1" t="s">
        <v>486</v>
      </c>
      <c r="D145" s="1" t="str">
        <f t="shared" ref="D145" si="68">"abilities/enemy/"&amp;A145</f>
        <v>abilities/enemy/elite_30_2</v>
      </c>
      <c r="E145" s="1" t="s">
        <v>325</v>
      </c>
      <c r="G145" s="1">
        <v>5</v>
      </c>
      <c r="N145" s="1" t="s">
        <v>0</v>
      </c>
      <c r="O145" s="1" t="s">
        <v>199</v>
      </c>
      <c r="P145" s="1" t="s">
        <v>200</v>
      </c>
      <c r="R145" s="1" t="s">
        <v>350</v>
      </c>
      <c r="T145" s="10">
        <v>8</v>
      </c>
      <c r="V145" s="7" t="s">
        <v>562</v>
      </c>
    </row>
    <row r="146" spans="1:25" x14ac:dyDescent="0.4">
      <c r="V146" s="7" t="s">
        <v>563</v>
      </c>
    </row>
    <row r="147" spans="1:25" x14ac:dyDescent="0.4">
      <c r="A147" s="1" t="s">
        <v>555</v>
      </c>
      <c r="B147" s="1" t="s">
        <v>557</v>
      </c>
      <c r="C147" s="1" t="s">
        <v>486</v>
      </c>
      <c r="D147" s="1" t="str">
        <f t="shared" ref="D147" si="69">"abilities/enemy/"&amp;A147</f>
        <v>abilities/enemy/elite_30_3</v>
      </c>
      <c r="E147" s="1" t="s">
        <v>558</v>
      </c>
      <c r="G147" s="1">
        <v>5</v>
      </c>
      <c r="N147" s="1" t="s">
        <v>0</v>
      </c>
      <c r="O147" s="1" t="s">
        <v>347</v>
      </c>
      <c r="P147" s="1" t="s">
        <v>200</v>
      </c>
      <c r="V147" s="7" t="s">
        <v>202</v>
      </c>
      <c r="W147" s="7" t="s">
        <v>560</v>
      </c>
    </row>
    <row r="148" spans="1:25" x14ac:dyDescent="0.4">
      <c r="V148" s="7">
        <v>900</v>
      </c>
      <c r="W148" s="7" t="s">
        <v>561</v>
      </c>
    </row>
    <row r="149" spans="1:25" x14ac:dyDescent="0.4">
      <c r="A149" s="1" t="s">
        <v>576</v>
      </c>
      <c r="B149" s="1" t="s">
        <v>578</v>
      </c>
      <c r="C149" s="1" t="s">
        <v>486</v>
      </c>
      <c r="D149" s="1" t="str">
        <f t="shared" ref="D149" si="70">"abilities/enemy/"&amp;A149</f>
        <v>abilities/enemy/wave_31_1</v>
      </c>
      <c r="E149" s="1" t="s">
        <v>284</v>
      </c>
      <c r="G149" s="1">
        <v>5</v>
      </c>
      <c r="N149" s="1" t="s">
        <v>0</v>
      </c>
      <c r="O149" s="1" t="s">
        <v>199</v>
      </c>
      <c r="P149" s="1" t="s">
        <v>200</v>
      </c>
      <c r="V149" s="7" t="s">
        <v>374</v>
      </c>
      <c r="W149" s="7" t="s">
        <v>353</v>
      </c>
      <c r="X149" s="7" t="s">
        <v>534</v>
      </c>
      <c r="Y149" s="7" t="s">
        <v>535</v>
      </c>
    </row>
    <row r="150" spans="1:25" x14ac:dyDescent="0.4">
      <c r="V150" s="7" t="s">
        <v>375</v>
      </c>
      <c r="W150" s="7" t="s">
        <v>386</v>
      </c>
      <c r="X150" s="7" t="s">
        <v>376</v>
      </c>
      <c r="Y150" s="7" t="s">
        <v>423</v>
      </c>
    </row>
    <row r="151" spans="1:25" x14ac:dyDescent="0.4">
      <c r="A151" s="1" t="s">
        <v>577</v>
      </c>
      <c r="B151" s="1" t="s">
        <v>579</v>
      </c>
      <c r="C151" s="1" t="s">
        <v>486</v>
      </c>
      <c r="D151" s="1" t="str">
        <f t="shared" ref="D151" si="71">"abilities/enemy/"&amp;A151</f>
        <v>abilities/enemy/wave_31_2</v>
      </c>
      <c r="E151" s="1" t="s">
        <v>285</v>
      </c>
      <c r="G151" s="1">
        <v>5</v>
      </c>
      <c r="H151" s="1" t="s">
        <v>337</v>
      </c>
      <c r="I151" s="1">
        <v>900</v>
      </c>
      <c r="J151" s="1">
        <v>0.5</v>
      </c>
      <c r="K151" s="1">
        <v>40</v>
      </c>
      <c r="L151" s="1">
        <v>1000</v>
      </c>
      <c r="N151" s="1" t="s">
        <v>589</v>
      </c>
      <c r="O151" s="1" t="s">
        <v>199</v>
      </c>
      <c r="P151" s="1" t="s">
        <v>200</v>
      </c>
      <c r="R151" s="1" t="s">
        <v>350</v>
      </c>
      <c r="V151" s="7" t="s">
        <v>204</v>
      </c>
    </row>
    <row r="152" spans="1:25" x14ac:dyDescent="0.4">
      <c r="V152" s="7" t="s">
        <v>377</v>
      </c>
    </row>
    <row r="153" spans="1:25" x14ac:dyDescent="0.4">
      <c r="A153" s="1" t="s">
        <v>580</v>
      </c>
      <c r="B153" s="1" t="s">
        <v>581</v>
      </c>
      <c r="C153" s="1" t="s">
        <v>486</v>
      </c>
      <c r="D153" s="1" t="str">
        <f t="shared" ref="D153:D155" si="72">"abilities/enemy/"&amp;A153</f>
        <v>abilities/enemy/wave_32_1</v>
      </c>
      <c r="E153" s="1" t="s">
        <v>585</v>
      </c>
      <c r="G153" s="1">
        <v>5</v>
      </c>
      <c r="N153" s="1" t="s">
        <v>0</v>
      </c>
      <c r="R153" s="1" t="s">
        <v>517</v>
      </c>
      <c r="V153" s="7" t="s">
        <v>360</v>
      </c>
      <c r="W153" s="7" t="s">
        <v>204</v>
      </c>
    </row>
    <row r="154" spans="1:25" x14ac:dyDescent="0.4">
      <c r="V154" s="7">
        <v>15</v>
      </c>
      <c r="W154" s="7" t="s">
        <v>603</v>
      </c>
    </row>
    <row r="155" spans="1:25" x14ac:dyDescent="0.4">
      <c r="A155" s="1" t="s">
        <v>584</v>
      </c>
      <c r="B155" s="1" t="s">
        <v>582</v>
      </c>
      <c r="C155" s="1" t="s">
        <v>486</v>
      </c>
      <c r="D155" s="1" t="str">
        <f t="shared" si="72"/>
        <v>abilities/enemy/wave_32_2</v>
      </c>
      <c r="E155" s="1" t="s">
        <v>586</v>
      </c>
      <c r="G155" s="1">
        <v>5</v>
      </c>
      <c r="H155" s="1" t="s">
        <v>337</v>
      </c>
      <c r="J155" s="1">
        <v>0.25</v>
      </c>
      <c r="K155" s="1" t="s">
        <v>583</v>
      </c>
      <c r="L155" s="1">
        <v>200</v>
      </c>
      <c r="N155" s="1" t="s">
        <v>88</v>
      </c>
      <c r="T155" s="10" t="s">
        <v>447</v>
      </c>
    </row>
    <row r="157" spans="1:25" x14ac:dyDescent="0.4">
      <c r="A157" s="1" t="s">
        <v>590</v>
      </c>
      <c r="B157" s="1" t="s">
        <v>592</v>
      </c>
      <c r="C157" s="1" t="s">
        <v>486</v>
      </c>
      <c r="D157" s="1" t="str">
        <f t="shared" ref="D157:D161" si="73">"abilities/enemy/"&amp;A157</f>
        <v>abilities/enemy/wave_33_1</v>
      </c>
      <c r="E157" s="1" t="s">
        <v>286</v>
      </c>
      <c r="G157" s="1">
        <v>5</v>
      </c>
      <c r="N157" s="1" t="s">
        <v>0</v>
      </c>
      <c r="O157" s="1" t="s">
        <v>199</v>
      </c>
      <c r="P157" s="1" t="s">
        <v>200</v>
      </c>
      <c r="R157" s="1" t="s">
        <v>350</v>
      </c>
      <c r="V157" s="7" t="s">
        <v>587</v>
      </c>
    </row>
    <row r="158" spans="1:25" x14ac:dyDescent="0.4">
      <c r="V158" s="7" t="s">
        <v>378</v>
      </c>
    </row>
    <row r="159" spans="1:25" x14ac:dyDescent="0.4">
      <c r="A159" s="1" t="s">
        <v>591</v>
      </c>
      <c r="B159" s="1" t="s">
        <v>593</v>
      </c>
      <c r="C159" s="1" t="s">
        <v>486</v>
      </c>
      <c r="D159" s="1" t="str">
        <f t="shared" si="73"/>
        <v>abilities/enemy/wave_33_2</v>
      </c>
      <c r="E159" s="1" t="s">
        <v>287</v>
      </c>
      <c r="G159" s="1">
        <v>5</v>
      </c>
      <c r="N159" s="1" t="s">
        <v>0</v>
      </c>
      <c r="O159" s="1" t="s">
        <v>199</v>
      </c>
      <c r="P159" s="1" t="s">
        <v>200</v>
      </c>
      <c r="T159" s="10" t="s">
        <v>604</v>
      </c>
      <c r="V159" s="7" t="s">
        <v>477</v>
      </c>
    </row>
    <row r="160" spans="1:25" x14ac:dyDescent="0.4">
      <c r="V160" s="7" t="s">
        <v>412</v>
      </c>
    </row>
    <row r="161" spans="1:26" x14ac:dyDescent="0.4">
      <c r="A161" s="1" t="s">
        <v>596</v>
      </c>
      <c r="B161" s="1" t="s">
        <v>597</v>
      </c>
      <c r="C161" s="1" t="s">
        <v>486</v>
      </c>
      <c r="D161" s="1" t="str">
        <f t="shared" si="73"/>
        <v>abilities/enemy/elite_33_1</v>
      </c>
      <c r="E161" s="1" t="s">
        <v>601</v>
      </c>
      <c r="G161" s="1">
        <v>5</v>
      </c>
      <c r="H161" s="1" t="s">
        <v>214</v>
      </c>
      <c r="J161" s="1">
        <v>0.3</v>
      </c>
      <c r="K161" s="1" t="s">
        <v>606</v>
      </c>
      <c r="L161" s="1">
        <v>200</v>
      </c>
      <c r="N161" s="1" t="s">
        <v>0</v>
      </c>
      <c r="O161" s="1" t="s">
        <v>199</v>
      </c>
      <c r="P161" s="1" t="s">
        <v>200</v>
      </c>
      <c r="R161" s="1" t="s">
        <v>350</v>
      </c>
      <c r="T161" s="10" t="s">
        <v>604</v>
      </c>
      <c r="U161" s="5" t="s">
        <v>607</v>
      </c>
      <c r="V161" s="7" t="s">
        <v>202</v>
      </c>
      <c r="W161" s="7" t="s">
        <v>609</v>
      </c>
      <c r="X161" s="7" t="s">
        <v>436</v>
      </c>
      <c r="Y161" s="7" t="s">
        <v>612</v>
      </c>
      <c r="Z161" s="7" t="s">
        <v>613</v>
      </c>
    </row>
    <row r="162" spans="1:26" x14ac:dyDescent="0.4">
      <c r="V162" s="7" t="s">
        <v>608</v>
      </c>
      <c r="W162" s="7" t="s">
        <v>610</v>
      </c>
      <c r="X162" s="7" t="s">
        <v>611</v>
      </c>
      <c r="Y162" s="7" t="s">
        <v>421</v>
      </c>
      <c r="Z162" s="7" t="s">
        <v>614</v>
      </c>
    </row>
    <row r="163" spans="1:26" x14ac:dyDescent="0.4">
      <c r="A163" s="1" t="s">
        <v>598</v>
      </c>
      <c r="B163" s="1" t="s">
        <v>599</v>
      </c>
      <c r="C163" s="1" t="s">
        <v>486</v>
      </c>
      <c r="D163" s="1" t="str">
        <f t="shared" ref="D163" si="74">"abilities/enemy/"&amp;A163</f>
        <v>abilities/enemy/elite_33_2</v>
      </c>
      <c r="E163" s="1" t="s">
        <v>602</v>
      </c>
      <c r="G163" s="1">
        <v>5</v>
      </c>
      <c r="H163" s="1" t="s">
        <v>338</v>
      </c>
      <c r="K163" s="1">
        <v>6</v>
      </c>
      <c r="N163" s="1" t="s">
        <v>0</v>
      </c>
      <c r="O163" s="1" t="s">
        <v>199</v>
      </c>
      <c r="P163" s="1" t="s">
        <v>200</v>
      </c>
      <c r="R163" s="1" t="s">
        <v>215</v>
      </c>
      <c r="T163" s="10">
        <v>4</v>
      </c>
      <c r="U163" s="5" t="s">
        <v>600</v>
      </c>
      <c r="V163" s="7" t="s">
        <v>477</v>
      </c>
      <c r="W163" s="7" t="s">
        <v>202</v>
      </c>
    </row>
    <row r="164" spans="1:26" x14ac:dyDescent="0.4">
      <c r="V164" s="7" t="s">
        <v>370</v>
      </c>
      <c r="W164" s="7" t="s">
        <v>615</v>
      </c>
    </row>
    <row r="165" spans="1:26" x14ac:dyDescent="0.4">
      <c r="A165" s="1" t="s">
        <v>594</v>
      </c>
      <c r="B165" s="1" t="s">
        <v>595</v>
      </c>
      <c r="C165" s="1" t="s">
        <v>486</v>
      </c>
      <c r="D165" s="1" t="str">
        <f t="shared" ref="D165" si="75">"abilities/enemy/"&amp;A165</f>
        <v>abilities/enemy/elite_33_3</v>
      </c>
      <c r="E165" s="1" t="s">
        <v>288</v>
      </c>
      <c r="G165" s="1">
        <v>5</v>
      </c>
      <c r="H165" s="1" t="s">
        <v>337</v>
      </c>
      <c r="K165" s="1">
        <v>16</v>
      </c>
      <c r="N165" s="1" t="s">
        <v>88</v>
      </c>
      <c r="O165" s="1" t="s">
        <v>199</v>
      </c>
      <c r="P165" s="1" t="s">
        <v>200</v>
      </c>
      <c r="T165" s="7" t="s">
        <v>447</v>
      </c>
      <c r="V165" s="7" t="s">
        <v>353</v>
      </c>
      <c r="W165" s="7" t="s">
        <v>202</v>
      </c>
    </row>
    <row r="166" spans="1:26" x14ac:dyDescent="0.4">
      <c r="V166" s="7" t="s">
        <v>364</v>
      </c>
      <c r="W166" s="7">
        <v>1800</v>
      </c>
    </row>
  </sheetData>
  <phoneticPr fontId="1" type="noConversion"/>
  <conditionalFormatting sqref="A3:T1000">
    <cfRule type="expression" dxfId="6" priority="4">
      <formula>AND(ISBLANK(A5)=FALSE,MOD(ROW(),2)=0)</formula>
    </cfRule>
  </conditionalFormatting>
  <conditionalFormatting sqref="A3:XFD1000">
    <cfRule type="expression" dxfId="5" priority="1">
      <formula>MOD(ROW(A8),4)&lt;2</formula>
    </cfRule>
    <cfRule type="expression" dxfId="4" priority="2">
      <formula>MOD(ROW(A6),4)&lt;2</formula>
    </cfRule>
    <cfRule type="expression" dxfId="3" priority="3">
      <formula>MOD(ROW(A6),2)=0</formula>
    </cfRule>
  </conditionalFormatting>
  <dataValidations disablePrompts="1"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  <x14:dataValidation type="list" allowBlank="1" showInputMessage="1" showErrorMessage="1" xr:uid="{CDFEE0AC-0FE2-4916-B146-D13D2D07605D}">
          <x14:formula1>
            <xm:f>Sheet2!$F$6:$F$12</xm:f>
          </x14:formula1>
          <xm:sqref>R1:R1048576</xm:sqref>
        </x14:dataValidation>
        <x14:dataValidation type="list" allowBlank="1" showInputMessage="1" showErrorMessage="1" xr:uid="{B7AC9D7A-A879-49B6-A868-6ADC589F1093}">
          <x14:formula1>
            <xm:f>Sheet2!$F$13:$F$15</xm:f>
          </x14:formula1>
          <xm:sqref>S1:S1048576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M42"/>
  <sheetViews>
    <sheetView topLeftCell="B1" workbookViewId="0">
      <selection activeCell="E30" sqref="E30"/>
    </sheetView>
  </sheetViews>
  <sheetFormatPr defaultColWidth="9" defaultRowHeight="13.9" x14ac:dyDescent="0.4"/>
  <cols>
    <col min="1" max="1" width="9" style="3"/>
    <col min="2" max="2" width="11.3984375" style="3" bestFit="1" customWidth="1"/>
    <col min="3" max="3" width="15.3984375" style="3" customWidth="1"/>
    <col min="4" max="4" width="15.1328125" style="4" bestFit="1" customWidth="1"/>
    <col min="5" max="5" width="51" style="4" bestFit="1" customWidth="1"/>
    <col min="6" max="6" width="34.86328125" style="4" customWidth="1"/>
    <col min="7" max="8" width="28.59765625" style="3" customWidth="1"/>
    <col min="9" max="9" width="26.3984375" style="4" customWidth="1"/>
    <col min="10" max="10" width="16" style="4" customWidth="1"/>
    <col min="11" max="11" width="9" style="4"/>
    <col min="12" max="12" width="20.265625" style="3" customWidth="1"/>
    <col min="13" max="13" width="15.265625" style="3" customWidth="1"/>
    <col min="14" max="14" width="23" style="4" customWidth="1"/>
    <col min="15" max="16384" width="9" style="4"/>
  </cols>
  <sheetData>
    <row r="1" spans="1:10" s="2" customFormat="1" x14ac:dyDescent="0.4">
      <c r="A1" s="2" t="s">
        <v>7</v>
      </c>
      <c r="B1" s="2" t="s">
        <v>2</v>
      </c>
      <c r="C1" s="2" t="s">
        <v>151</v>
      </c>
      <c r="D1" s="2" t="s">
        <v>4</v>
      </c>
      <c r="E1" s="2" t="s">
        <v>1</v>
      </c>
      <c r="F1" s="2" t="s">
        <v>158</v>
      </c>
      <c r="I1" s="2" t="s">
        <v>147</v>
      </c>
      <c r="J1" s="2" t="s">
        <v>148</v>
      </c>
    </row>
    <row r="2" spans="1:10" x14ac:dyDescent="0.4">
      <c r="A2" s="3" t="s">
        <v>6</v>
      </c>
      <c r="B2" s="3" t="s">
        <v>3</v>
      </c>
      <c r="C2" s="3" t="s">
        <v>152</v>
      </c>
      <c r="D2" s="4" t="s">
        <v>104</v>
      </c>
      <c r="E2" s="4" t="s">
        <v>86</v>
      </c>
      <c r="F2" s="4" t="s">
        <v>160</v>
      </c>
      <c r="I2" s="4" t="str">
        <f>"abilities/boss/"&amp;Sheet1!A3</f>
        <v>abilities/boss/force_rush</v>
      </c>
      <c r="J2" s="4" t="s">
        <v>149</v>
      </c>
    </row>
    <row r="3" spans="1:10" x14ac:dyDescent="0.4">
      <c r="A3" s="3" t="s">
        <v>150</v>
      </c>
      <c r="B3" s="3" t="s">
        <v>146</v>
      </c>
      <c r="C3" s="3" t="s">
        <v>153</v>
      </c>
      <c r="D3" s="4" t="s">
        <v>108</v>
      </c>
      <c r="E3" s="4" t="s">
        <v>87</v>
      </c>
      <c r="F3" s="4" t="s">
        <v>161</v>
      </c>
      <c r="I3" s="4" t="s">
        <v>156</v>
      </c>
    </row>
    <row r="4" spans="1:10" x14ac:dyDescent="0.4">
      <c r="A4" s="3" t="s">
        <v>8</v>
      </c>
      <c r="B4" s="3" t="s">
        <v>9</v>
      </c>
      <c r="C4" s="3" t="s">
        <v>154</v>
      </c>
      <c r="D4" s="4" t="s">
        <v>109</v>
      </c>
      <c r="E4" s="4" t="s">
        <v>0</v>
      </c>
      <c r="F4" s="4" t="s">
        <v>162</v>
      </c>
    </row>
    <row r="5" spans="1:10" x14ac:dyDescent="0.4">
      <c r="A5" s="3" t="s">
        <v>43</v>
      </c>
      <c r="B5" s="3" t="s">
        <v>10</v>
      </c>
      <c r="C5" s="3" t="s">
        <v>155</v>
      </c>
      <c r="D5" s="4" t="s">
        <v>110</v>
      </c>
      <c r="E5" s="4" t="s">
        <v>88</v>
      </c>
      <c r="F5" s="4" t="s">
        <v>159</v>
      </c>
    </row>
    <row r="6" spans="1:10" x14ac:dyDescent="0.4">
      <c r="A6" s="3" t="s">
        <v>44</v>
      </c>
      <c r="B6" s="3" t="s">
        <v>11</v>
      </c>
      <c r="D6" s="4" t="s">
        <v>111</v>
      </c>
      <c r="E6" s="4" t="s">
        <v>5</v>
      </c>
      <c r="F6" s="2" t="s">
        <v>196</v>
      </c>
    </row>
    <row r="7" spans="1:10" x14ac:dyDescent="0.4">
      <c r="A7" s="3" t="s">
        <v>45</v>
      </c>
      <c r="B7" s="3" t="s">
        <v>12</v>
      </c>
      <c r="D7" s="4" t="s">
        <v>112</v>
      </c>
      <c r="E7" s="4" t="s">
        <v>89</v>
      </c>
      <c r="F7" s="3" t="s">
        <v>207</v>
      </c>
    </row>
    <row r="8" spans="1:10" x14ac:dyDescent="0.4">
      <c r="A8" s="3" t="s">
        <v>46</v>
      </c>
      <c r="B8" s="3" t="s">
        <v>13</v>
      </c>
      <c r="D8" s="4" t="s">
        <v>113</v>
      </c>
      <c r="E8" s="4" t="s">
        <v>90</v>
      </c>
      <c r="F8" s="3" t="s">
        <v>208</v>
      </c>
    </row>
    <row r="9" spans="1:10" x14ac:dyDescent="0.4">
      <c r="A9" s="3" t="s">
        <v>47</v>
      </c>
      <c r="B9" s="3" t="s">
        <v>14</v>
      </c>
      <c r="D9" s="4" t="s">
        <v>114</v>
      </c>
      <c r="E9" s="4" t="s">
        <v>91</v>
      </c>
      <c r="F9" s="3" t="s">
        <v>205</v>
      </c>
    </row>
    <row r="10" spans="1:10" x14ac:dyDescent="0.4">
      <c r="A10" s="3" t="s">
        <v>48</v>
      </c>
      <c r="B10" s="3" t="s">
        <v>15</v>
      </c>
      <c r="D10" s="4" t="s">
        <v>115</v>
      </c>
      <c r="E10" s="4" t="s">
        <v>157</v>
      </c>
      <c r="F10" s="3" t="s">
        <v>209</v>
      </c>
    </row>
    <row r="11" spans="1:10" x14ac:dyDescent="0.4">
      <c r="A11" s="3" t="s">
        <v>49</v>
      </c>
      <c r="B11" s="3" t="s">
        <v>16</v>
      </c>
      <c r="D11" s="4" t="s">
        <v>116</v>
      </c>
      <c r="E11" s="4" t="s">
        <v>92</v>
      </c>
      <c r="F11" s="3" t="s">
        <v>206</v>
      </c>
    </row>
    <row r="12" spans="1:10" x14ac:dyDescent="0.4">
      <c r="A12" s="3" t="s">
        <v>50</v>
      </c>
      <c r="B12" s="3" t="s">
        <v>17</v>
      </c>
      <c r="D12" s="4" t="s">
        <v>117</v>
      </c>
      <c r="E12" s="4" t="s">
        <v>93</v>
      </c>
      <c r="F12" s="3" t="s">
        <v>210</v>
      </c>
    </row>
    <row r="13" spans="1:10" x14ac:dyDescent="0.4">
      <c r="A13" s="3" t="s">
        <v>51</v>
      </c>
      <c r="B13" s="3" t="s">
        <v>18</v>
      </c>
      <c r="D13" s="4" t="s">
        <v>138</v>
      </c>
      <c r="E13" s="4" t="s">
        <v>137</v>
      </c>
      <c r="F13" s="2" t="s">
        <v>211</v>
      </c>
    </row>
    <row r="14" spans="1:10" x14ac:dyDescent="0.4">
      <c r="A14" s="3" t="s">
        <v>52</v>
      </c>
      <c r="B14" s="3" t="s">
        <v>19</v>
      </c>
      <c r="D14" s="4" t="s">
        <v>118</v>
      </c>
      <c r="E14" s="4" t="s">
        <v>94</v>
      </c>
      <c r="F14" s="3" t="s">
        <v>212</v>
      </c>
    </row>
    <row r="15" spans="1:10" x14ac:dyDescent="0.4">
      <c r="A15" s="3" t="s">
        <v>53</v>
      </c>
      <c r="B15" s="3" t="s">
        <v>21</v>
      </c>
      <c r="D15" s="4" t="s">
        <v>119</v>
      </c>
      <c r="E15" s="4" t="s">
        <v>95</v>
      </c>
      <c r="F15" s="3" t="s">
        <v>213</v>
      </c>
    </row>
    <row r="16" spans="1:10" x14ac:dyDescent="0.4">
      <c r="A16" s="3" t="s">
        <v>54</v>
      </c>
      <c r="B16" s="3" t="s">
        <v>69</v>
      </c>
      <c r="D16" s="4" t="s">
        <v>120</v>
      </c>
      <c r="E16" s="4" t="s">
        <v>139</v>
      </c>
    </row>
    <row r="17" spans="1:5" x14ac:dyDescent="0.4">
      <c r="A17" s="3" t="s">
        <v>55</v>
      </c>
      <c r="B17" s="3" t="s">
        <v>22</v>
      </c>
      <c r="D17" s="4" t="s">
        <v>121</v>
      </c>
      <c r="E17" s="4" t="s">
        <v>140</v>
      </c>
    </row>
    <row r="18" spans="1:5" x14ac:dyDescent="0.4">
      <c r="A18" s="3" t="s">
        <v>56</v>
      </c>
      <c r="B18" s="3" t="s">
        <v>23</v>
      </c>
      <c r="D18" s="4" t="s">
        <v>122</v>
      </c>
      <c r="E18" s="4" t="s">
        <v>141</v>
      </c>
    </row>
    <row r="19" spans="1:5" x14ac:dyDescent="0.4">
      <c r="A19" s="3" t="s">
        <v>57</v>
      </c>
      <c r="B19" s="3" t="s">
        <v>24</v>
      </c>
      <c r="D19" s="4" t="s">
        <v>123</v>
      </c>
      <c r="E19" s="4" t="s">
        <v>96</v>
      </c>
    </row>
    <row r="20" spans="1:5" x14ac:dyDescent="0.4">
      <c r="A20" s="3" t="s">
        <v>58</v>
      </c>
      <c r="B20" s="3" t="s">
        <v>25</v>
      </c>
      <c r="D20" s="4" t="s">
        <v>124</v>
      </c>
      <c r="E20" s="4" t="s">
        <v>97</v>
      </c>
    </row>
    <row r="21" spans="1:5" x14ac:dyDescent="0.4">
      <c r="A21" s="3" t="s">
        <v>59</v>
      </c>
      <c r="B21" s="3" t="s">
        <v>26</v>
      </c>
      <c r="D21" s="4" t="s">
        <v>125</v>
      </c>
      <c r="E21" s="4" t="s">
        <v>105</v>
      </c>
    </row>
    <row r="22" spans="1:5" x14ac:dyDescent="0.4">
      <c r="A22" s="3" t="s">
        <v>60</v>
      </c>
      <c r="B22" s="3" t="s">
        <v>27</v>
      </c>
      <c r="D22" s="4" t="s">
        <v>126</v>
      </c>
      <c r="E22" s="4" t="s">
        <v>142</v>
      </c>
    </row>
    <row r="23" spans="1:5" x14ac:dyDescent="0.4">
      <c r="A23" s="3" t="s">
        <v>61</v>
      </c>
      <c r="B23" s="3" t="s">
        <v>28</v>
      </c>
      <c r="D23" s="4" t="s">
        <v>127</v>
      </c>
      <c r="E23" s="4" t="s">
        <v>143</v>
      </c>
    </row>
    <row r="24" spans="1:5" x14ac:dyDescent="0.4">
      <c r="A24" s="3" t="s">
        <v>62</v>
      </c>
      <c r="B24" s="3" t="s">
        <v>29</v>
      </c>
      <c r="D24" s="4" t="s">
        <v>144</v>
      </c>
      <c r="E24" s="4" t="s">
        <v>106</v>
      </c>
    </row>
    <row r="25" spans="1:5" x14ac:dyDescent="0.4">
      <c r="A25" s="3" t="s">
        <v>63</v>
      </c>
      <c r="B25" s="3" t="s">
        <v>30</v>
      </c>
      <c r="D25" s="4" t="s">
        <v>128</v>
      </c>
      <c r="E25" s="4" t="s">
        <v>98</v>
      </c>
    </row>
    <row r="26" spans="1:5" x14ac:dyDescent="0.4">
      <c r="A26" s="3" t="s">
        <v>64</v>
      </c>
      <c r="B26" s="3" t="s">
        <v>31</v>
      </c>
      <c r="D26" s="4" t="s">
        <v>129</v>
      </c>
      <c r="E26" s="4" t="s">
        <v>145</v>
      </c>
    </row>
    <row r="27" spans="1:5" x14ac:dyDescent="0.4">
      <c r="A27" s="3" t="s">
        <v>65</v>
      </c>
      <c r="B27" s="3" t="s">
        <v>20</v>
      </c>
      <c r="D27" s="4" t="s">
        <v>130</v>
      </c>
      <c r="E27" s="4" t="s">
        <v>107</v>
      </c>
    </row>
    <row r="28" spans="1:5" x14ac:dyDescent="0.4">
      <c r="A28" s="3" t="s">
        <v>66</v>
      </c>
      <c r="B28" s="3" t="s">
        <v>32</v>
      </c>
      <c r="D28" s="4" t="s">
        <v>131</v>
      </c>
      <c r="E28" s="4" t="s">
        <v>99</v>
      </c>
    </row>
    <row r="29" spans="1:5" x14ac:dyDescent="0.4">
      <c r="A29" s="3" t="s">
        <v>67</v>
      </c>
      <c r="B29" s="3" t="s">
        <v>33</v>
      </c>
      <c r="D29" s="4" t="s">
        <v>132</v>
      </c>
      <c r="E29" s="4" t="s">
        <v>100</v>
      </c>
    </row>
    <row r="30" spans="1:5" x14ac:dyDescent="0.4">
      <c r="A30" s="3" t="s">
        <v>73</v>
      </c>
      <c r="B30" s="3" t="s">
        <v>68</v>
      </c>
      <c r="D30" s="4" t="s">
        <v>133</v>
      </c>
      <c r="E30" s="4" t="s">
        <v>588</v>
      </c>
    </row>
    <row r="31" spans="1:5" x14ac:dyDescent="0.4">
      <c r="A31" s="3" t="s">
        <v>74</v>
      </c>
      <c r="B31" s="3" t="s">
        <v>70</v>
      </c>
      <c r="D31" s="4" t="s">
        <v>134</v>
      </c>
      <c r="E31" s="4" t="s">
        <v>101</v>
      </c>
    </row>
    <row r="32" spans="1:5" x14ac:dyDescent="0.4">
      <c r="A32" s="3" t="s">
        <v>75</v>
      </c>
      <c r="B32" s="3" t="s">
        <v>71</v>
      </c>
      <c r="D32" s="4" t="s">
        <v>135</v>
      </c>
      <c r="E32" s="4" t="s">
        <v>102</v>
      </c>
    </row>
    <row r="33" spans="1:5" x14ac:dyDescent="0.4">
      <c r="A33" s="3" t="s">
        <v>76</v>
      </c>
      <c r="B33" s="3" t="s">
        <v>72</v>
      </c>
      <c r="D33" s="4" t="s">
        <v>136</v>
      </c>
      <c r="E33" s="4" t="s">
        <v>103</v>
      </c>
    </row>
    <row r="34" spans="1:5" x14ac:dyDescent="0.4">
      <c r="A34" s="3" t="s">
        <v>77</v>
      </c>
      <c r="B34" s="3" t="s">
        <v>34</v>
      </c>
    </row>
    <row r="35" spans="1:5" x14ac:dyDescent="0.4">
      <c r="A35" s="3" t="s">
        <v>78</v>
      </c>
      <c r="B35" s="3" t="s">
        <v>35</v>
      </c>
    </row>
    <row r="36" spans="1:5" x14ac:dyDescent="0.4">
      <c r="A36" s="3" t="s">
        <v>79</v>
      </c>
      <c r="B36" s="3" t="s">
        <v>36</v>
      </c>
    </row>
    <row r="37" spans="1:5" x14ac:dyDescent="0.4">
      <c r="A37" s="3" t="s">
        <v>80</v>
      </c>
      <c r="B37" s="3" t="s">
        <v>37</v>
      </c>
    </row>
    <row r="38" spans="1:5" x14ac:dyDescent="0.4">
      <c r="A38" s="3" t="s">
        <v>81</v>
      </c>
      <c r="B38" s="3" t="s">
        <v>38</v>
      </c>
    </row>
    <row r="39" spans="1:5" x14ac:dyDescent="0.4">
      <c r="A39" s="3" t="s">
        <v>82</v>
      </c>
      <c r="B39" s="3" t="s">
        <v>39</v>
      </c>
    </row>
    <row r="40" spans="1:5" x14ac:dyDescent="0.4">
      <c r="A40" s="3" t="s">
        <v>83</v>
      </c>
      <c r="B40" s="3" t="s">
        <v>40</v>
      </c>
    </row>
    <row r="41" spans="1:5" x14ac:dyDescent="0.4">
      <c r="A41" s="3" t="s">
        <v>84</v>
      </c>
      <c r="B41" s="3" t="s">
        <v>41</v>
      </c>
    </row>
    <row r="42" spans="1:5" x14ac:dyDescent="0.4">
      <c r="A42" s="3" t="s">
        <v>85</v>
      </c>
      <c r="B42" s="3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bigciba</cp:lastModifiedBy>
  <dcterms:created xsi:type="dcterms:W3CDTF">2015-06-05T18:19:34Z</dcterms:created>
  <dcterms:modified xsi:type="dcterms:W3CDTF">2020-05-31T08:44:03Z</dcterms:modified>
</cp:coreProperties>
</file>