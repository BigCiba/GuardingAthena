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wan\Documents\Dota Addons\Guarding Athena\design\3.kv配置表\abilities\"/>
    </mc:Choice>
  </mc:AlternateContent>
  <xr:revisionPtr revIDLastSave="0" documentId="13_ncr:1_{ADC9DA1C-397D-4BA5-B00A-7BFA91B7056A}" xr6:coauthVersionLast="47" xr6:coauthVersionMax="47" xr10:uidLastSave="{00000000-0000-0000-0000-000000000000}"/>
  <bookViews>
    <workbookView xWindow="4740" yWindow="4515" windowWidth="16710" windowHeight="13275" xr2:uid="{00000000-000D-0000-FFFF-FFFF00000000}"/>
  </bookViews>
  <sheets>
    <sheet name="Sheet1" sheetId="1" r:id="rId1"/>
    <sheet name="Sheet2" sheetId="2" r:id="rId2"/>
    <sheet name="backup_Sheet1" sheetId="10" r:id="rId3"/>
  </sheets>
  <definedNames>
    <definedName name="_xlnm._FilterDatabase" localSheetId="2" hidden="1">backup_Sheet1!$A$1:$AJ$38</definedName>
    <definedName name="_xlnm._FilterDatabase" localSheetId="0" hidden="1">Sheet1!$A$1:$AJ$38</definedName>
    <definedName name="ability" localSheetId="2">backup_Sheet1!#REF!</definedName>
    <definedName name="ability" localSheetId="0">Sheet1!#REF!</definedName>
    <definedName name="ability_1" localSheetId="2">backup_Sheet1!#REF!</definedName>
    <definedName name="ability_1"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21" i="1" l="1"/>
  <c r="D119" i="1"/>
  <c r="D117" i="1"/>
  <c r="D115" i="1"/>
  <c r="D113" i="10"/>
  <c r="D111" i="10"/>
  <c r="D109" i="10"/>
  <c r="D107" i="10"/>
  <c r="D105" i="10"/>
  <c r="D103" i="10"/>
  <c r="D101" i="10"/>
  <c r="D99" i="10"/>
  <c r="D97" i="10"/>
  <c r="D95" i="10"/>
  <c r="D93" i="10"/>
  <c r="D91" i="10"/>
  <c r="D89" i="10"/>
  <c r="D87" i="10"/>
  <c r="D85" i="10"/>
  <c r="D83" i="10"/>
  <c r="D81" i="10"/>
  <c r="D79" i="10"/>
  <c r="D77" i="10"/>
  <c r="D75" i="10"/>
  <c r="D73" i="10"/>
  <c r="D71" i="10"/>
  <c r="D69" i="10"/>
  <c r="D67" i="10"/>
  <c r="D65" i="10"/>
  <c r="D63" i="10"/>
  <c r="D61" i="10"/>
  <c r="D59" i="10"/>
  <c r="D57" i="10"/>
  <c r="D55" i="10"/>
  <c r="D53" i="10"/>
  <c r="D51" i="10"/>
  <c r="D49" i="10"/>
  <c r="D47" i="10"/>
  <c r="D45" i="10"/>
  <c r="D43" i="10"/>
  <c r="D41" i="10"/>
  <c r="D21" i="10"/>
  <c r="D19" i="10"/>
  <c r="D17" i="10"/>
  <c r="D15" i="10"/>
  <c r="D13" i="10"/>
  <c r="D11" i="10"/>
  <c r="D9" i="10"/>
  <c r="D7" i="10"/>
  <c r="D5" i="10"/>
  <c r="D3" i="10"/>
  <c r="D107" i="1"/>
  <c r="D109" i="1"/>
  <c r="D111" i="1"/>
  <c r="D113" i="1"/>
  <c r="D105" i="1"/>
  <c r="D3" i="1"/>
  <c r="D97" i="1"/>
  <c r="D99" i="1"/>
  <c r="D101" i="1"/>
  <c r="D103" i="1"/>
  <c r="D95" i="1"/>
  <c r="D87" i="1"/>
  <c r="D89" i="1"/>
  <c r="D91" i="1"/>
  <c r="D93" i="1"/>
  <c r="D69" i="1"/>
  <c r="D71" i="1"/>
  <c r="D73" i="1"/>
  <c r="D75" i="1"/>
  <c r="D77" i="1"/>
  <c r="D79" i="1"/>
  <c r="D81" i="1"/>
  <c r="D83" i="1"/>
  <c r="D85" i="1"/>
  <c r="D51" i="1"/>
  <c r="D53" i="1"/>
  <c r="D55" i="1"/>
  <c r="D57" i="1"/>
  <c r="D59" i="1"/>
  <c r="D61" i="1"/>
  <c r="D63" i="1"/>
  <c r="D65" i="1"/>
  <c r="D67" i="1"/>
  <c r="D43" i="1"/>
  <c r="D45" i="1"/>
  <c r="D47" i="1"/>
  <c r="D49" i="1"/>
  <c r="D41" i="1"/>
  <c r="D5" i="1"/>
  <c r="D7" i="1"/>
  <c r="D9" i="1"/>
  <c r="D11" i="1"/>
  <c r="D13" i="1"/>
  <c r="D15" i="1"/>
  <c r="D17" i="1"/>
  <c r="D19" i="1"/>
  <c r="D21" i="1"/>
  <c r="I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ACDEE-1818-4BF4-AF3A-D71E2E847528}" keepAlive="1" name="查询 - ability" description="与工作簿中“ability”查询的连接。" type="5" refreshedVersion="6" background="1" saveData="1">
    <dbPr connection="Provider=Microsoft.Mashup.OleDb.1;Data Source=$Workbook$;Location=ability;Extended Properties=&quot;&quot;" command="SELECT * FROM [ability]"/>
  </connection>
</connections>
</file>

<file path=xl/sharedStrings.xml><?xml version="1.0" encoding="utf-8"?>
<sst xmlns="http://schemas.openxmlformats.org/spreadsheetml/2006/main" count="1953" uniqueCount="386">
  <si>
    <t>DOTA_ABILITY_BEHAVIOR_PASSIVE</t>
    <phoneticPr fontId="1" type="noConversion"/>
  </si>
  <si>
    <t>AbilityBehavior</t>
    <phoneticPr fontId="1" type="noConversion"/>
  </si>
  <si>
    <t>Tag</t>
    <phoneticPr fontId="1" type="noConversion"/>
  </si>
  <si>
    <t>base</t>
    <phoneticPr fontId="1" type="noConversion"/>
  </si>
  <si>
    <t>技能行为</t>
    <phoneticPr fontId="1" type="noConversion"/>
  </si>
  <si>
    <t>DOTA_ABILITY_BEHAVIOR_UNIT_TARGET</t>
    <phoneticPr fontId="1" type="noConversion"/>
  </si>
  <si>
    <t>基础技能</t>
    <phoneticPr fontId="1" type="noConversion"/>
  </si>
  <si>
    <t>技能标签</t>
    <phoneticPr fontId="1" type="noConversion"/>
  </si>
  <si>
    <t>机甲</t>
    <phoneticPr fontId="1" type="noConversion"/>
  </si>
  <si>
    <t>warframe</t>
    <phoneticPr fontId="1" type="noConversion"/>
  </si>
  <si>
    <t>gunner</t>
    <phoneticPr fontId="1" type="noConversion"/>
  </si>
  <si>
    <t>techie</t>
    <phoneticPr fontId="1" type="noConversion"/>
  </si>
  <si>
    <t>dwarf</t>
    <phoneticPr fontId="1" type="noConversion"/>
  </si>
  <si>
    <t>magician</t>
    <phoneticPr fontId="1" type="noConversion"/>
  </si>
  <si>
    <t>electricity</t>
    <phoneticPr fontId="1" type="noConversion"/>
  </si>
  <si>
    <t>undead</t>
    <phoneticPr fontId="1" type="noConversion"/>
  </si>
  <si>
    <t>prophet</t>
    <phoneticPr fontId="1" type="noConversion"/>
  </si>
  <si>
    <t>terra</t>
    <phoneticPr fontId="1" type="noConversion"/>
  </si>
  <si>
    <t>elementalist</t>
    <phoneticPr fontId="1" type="noConversion"/>
  </si>
  <si>
    <t>fire</t>
    <phoneticPr fontId="1" type="noConversion"/>
  </si>
  <si>
    <t>demon</t>
    <phoneticPr fontId="1" type="noConversion"/>
  </si>
  <si>
    <t>ogre</t>
    <phoneticPr fontId="1" type="noConversion"/>
  </si>
  <si>
    <t>sorcerer</t>
    <phoneticPr fontId="1" type="noConversion"/>
  </si>
  <si>
    <t>knight</t>
    <phoneticPr fontId="1" type="noConversion"/>
  </si>
  <si>
    <t>assassin</t>
    <phoneticPr fontId="1" type="noConversion"/>
  </si>
  <si>
    <t>astral</t>
    <phoneticPr fontId="1" type="noConversion"/>
  </si>
  <si>
    <t>archean</t>
    <phoneticPr fontId="1" type="noConversion"/>
  </si>
  <si>
    <t>protector</t>
    <phoneticPr fontId="1" type="noConversion"/>
  </si>
  <si>
    <t>cleric</t>
    <phoneticPr fontId="1" type="noConversion"/>
  </si>
  <si>
    <t>shaman</t>
    <phoneticPr fontId="1" type="noConversion"/>
  </si>
  <si>
    <t>human</t>
    <phoneticPr fontId="1" type="noConversion"/>
  </si>
  <si>
    <t>ranger</t>
    <phoneticPr fontId="1" type="noConversion"/>
  </si>
  <si>
    <t>hell</t>
    <phoneticPr fontId="1" type="noConversion"/>
  </si>
  <si>
    <t>shadow</t>
    <phoneticPr fontId="1" type="noConversion"/>
  </si>
  <si>
    <t>kobold</t>
    <phoneticPr fontId="1" type="noConversion"/>
  </si>
  <si>
    <t>champion</t>
    <phoneticPr fontId="1" type="noConversion"/>
  </si>
  <si>
    <t>thief</t>
    <phoneticPr fontId="1" type="noConversion"/>
  </si>
  <si>
    <t>laws</t>
    <phoneticPr fontId="1" type="noConversion"/>
  </si>
  <si>
    <t>dragon</t>
    <phoneticPr fontId="1" type="noConversion"/>
  </si>
  <si>
    <t>warlock</t>
    <phoneticPr fontId="1" type="noConversion"/>
  </si>
  <si>
    <t>priests</t>
    <phoneticPr fontId="1" type="noConversion"/>
  </si>
  <si>
    <t>mage</t>
    <phoneticPr fontId="1" type="noConversion"/>
  </si>
  <si>
    <t>monster</t>
    <phoneticPr fontId="1" type="noConversion"/>
  </si>
  <si>
    <t>枪炮手</t>
    <phoneticPr fontId="1" type="noConversion"/>
  </si>
  <si>
    <t>工程师</t>
    <phoneticPr fontId="1" type="noConversion"/>
  </si>
  <si>
    <t>矮人</t>
    <phoneticPr fontId="1" type="noConversion"/>
  </si>
  <si>
    <t>魔法师</t>
    <phoneticPr fontId="1" type="noConversion"/>
  </si>
  <si>
    <t>电元素</t>
    <phoneticPr fontId="1" type="noConversion"/>
  </si>
  <si>
    <t>亡灵</t>
    <phoneticPr fontId="1" type="noConversion"/>
  </si>
  <si>
    <t>先知</t>
    <phoneticPr fontId="1" type="noConversion"/>
  </si>
  <si>
    <t>土元素</t>
    <phoneticPr fontId="1" type="noConversion"/>
  </si>
  <si>
    <t>元素使</t>
    <phoneticPr fontId="1" type="noConversion"/>
  </si>
  <si>
    <t>火元素</t>
    <phoneticPr fontId="1" type="noConversion"/>
  </si>
  <si>
    <t>食人魔</t>
    <phoneticPr fontId="1" type="noConversion"/>
  </si>
  <si>
    <t>战士</t>
    <phoneticPr fontId="1" type="noConversion"/>
  </si>
  <si>
    <t>巫师</t>
    <phoneticPr fontId="1" type="noConversion"/>
  </si>
  <si>
    <t>骑士</t>
    <phoneticPr fontId="1" type="noConversion"/>
  </si>
  <si>
    <t>刺客</t>
    <phoneticPr fontId="1" type="noConversion"/>
  </si>
  <si>
    <t>星界</t>
    <phoneticPr fontId="1" type="noConversion"/>
  </si>
  <si>
    <t>太古</t>
    <phoneticPr fontId="1" type="noConversion"/>
  </si>
  <si>
    <t>护卫</t>
    <phoneticPr fontId="1" type="noConversion"/>
  </si>
  <si>
    <t>祭祀</t>
    <phoneticPr fontId="1" type="noConversion"/>
  </si>
  <si>
    <t>萨满</t>
    <phoneticPr fontId="1" type="noConversion"/>
  </si>
  <si>
    <t>人类</t>
    <phoneticPr fontId="1" type="noConversion"/>
  </si>
  <si>
    <t>游侠</t>
    <phoneticPr fontId="1" type="noConversion"/>
  </si>
  <si>
    <t>恶魔</t>
    <phoneticPr fontId="1" type="noConversion"/>
  </si>
  <si>
    <t>地狱</t>
    <phoneticPr fontId="1" type="noConversion"/>
  </si>
  <si>
    <t>暗影</t>
    <phoneticPr fontId="1" type="noConversion"/>
  </si>
  <si>
    <t>berserker</t>
    <phoneticPr fontId="1" type="noConversion"/>
  </si>
  <si>
    <t>warrior</t>
    <phoneticPr fontId="1" type="noConversion"/>
  </si>
  <si>
    <t>elves</t>
    <phoneticPr fontId="1" type="noConversion"/>
  </si>
  <si>
    <t>banshee</t>
    <phoneticPr fontId="1" type="noConversion"/>
  </si>
  <si>
    <t>golem</t>
    <phoneticPr fontId="1" type="noConversion"/>
  </si>
  <si>
    <t>狂战士</t>
    <phoneticPr fontId="1" type="noConversion"/>
  </si>
  <si>
    <t>精灵</t>
    <phoneticPr fontId="1" type="noConversion"/>
  </si>
  <si>
    <t>女妖</t>
    <phoneticPr fontId="1" type="noConversion"/>
  </si>
  <si>
    <t>魔像</t>
    <phoneticPr fontId="1" type="noConversion"/>
  </si>
  <si>
    <t>狗头人</t>
    <phoneticPr fontId="1" type="noConversion"/>
  </si>
  <si>
    <t>指挥官</t>
    <phoneticPr fontId="1" type="noConversion"/>
  </si>
  <si>
    <t>盗贼</t>
    <phoneticPr fontId="1" type="noConversion"/>
  </si>
  <si>
    <t>法则</t>
    <phoneticPr fontId="1" type="noConversion"/>
  </si>
  <si>
    <t>龙族</t>
    <phoneticPr fontId="1" type="noConversion"/>
  </si>
  <si>
    <t>术士</t>
    <phoneticPr fontId="1" type="noConversion"/>
  </si>
  <si>
    <t>牧师</t>
    <phoneticPr fontId="1" type="noConversion"/>
  </si>
  <si>
    <t>贤者</t>
    <phoneticPr fontId="1" type="noConversion"/>
  </si>
  <si>
    <t>巨兽</t>
    <phoneticPr fontId="1" type="noConversion"/>
  </si>
  <si>
    <t>DOTA_ABILITY_BEHAVIOR_NONE</t>
    <phoneticPr fontId="1" type="noConversion"/>
  </si>
  <si>
    <t>DOTA_ABILITY_BEHAVIOR_HIDDEN</t>
    <phoneticPr fontId="1" type="noConversion"/>
  </si>
  <si>
    <t>DOTA_ABILITY_BEHAVIOR_NO_TARGET</t>
    <phoneticPr fontId="1" type="noConversion"/>
  </si>
  <si>
    <t>DOTA_ABILITY_BEHAVIOR_POINT</t>
    <phoneticPr fontId="1" type="noConversion"/>
  </si>
  <si>
    <t>DOTA_ABILITY_BEHAVIOR_AOE</t>
  </si>
  <si>
    <t>DOTA_ABILITY_BEHAVIOR_NOT_LEARNABLE</t>
  </si>
  <si>
    <t>DOTA_ABILITY_BEHAVIOR_ITEM</t>
  </si>
  <si>
    <t>DOTA_ABILITY_BEHAVIOR_TOGGLE</t>
  </si>
  <si>
    <t>DOTA_ABILITY_BEHAVIOR_AUTOCAST</t>
  </si>
  <si>
    <t>DOTA_ABILITY_BEHAVIOR_AURA</t>
  </si>
  <si>
    <t>DOTA_ABILITY_BEHAVIOR_ATTACK</t>
  </si>
  <si>
    <t>DOTA_ABILITY_BEHAVIOR_IGNORE_CHANNEL</t>
  </si>
  <si>
    <t>DOTA_ABILITY_BEHAVIOR_DONT_RESUME_ATTACK</t>
  </si>
  <si>
    <t>DOTA_ABILITY_BEHAVIOR_NORMAL_WHEN_STOLEN</t>
  </si>
  <si>
    <t>DOTA_ABILITY_BEHAVIOR_IGNORE_BACKSWING</t>
  </si>
  <si>
    <t>DOTA_ABILITY_BEHAVIOR_RUNE_TARGET</t>
  </si>
  <si>
    <t>DOTA_ABILITY_BEHAVIOR_DONT_CANCEL_CHANNEL</t>
  </si>
  <si>
    <t>DOTA_ABILITY_LAST_BEHAVIOR</t>
  </si>
  <si>
    <t>无</t>
  </si>
  <si>
    <t>DOTA_ABILITY_BEHAVIOR_DONT_RESUME_MOVEMENT</t>
    <phoneticPr fontId="1" type="noConversion"/>
  </si>
  <si>
    <t>DOTA_ABILITY_BEHAVIOR_IGNORE_PSEUDO_QUEUE</t>
    <phoneticPr fontId="1" type="noConversion"/>
  </si>
  <si>
    <t>DOTA_ABILITY_BEHAVIOR_DONT_ALERT_TARGET</t>
    <phoneticPr fontId="1" type="noConversion"/>
  </si>
  <si>
    <t>隐藏</t>
  </si>
  <si>
    <t>被动</t>
  </si>
  <si>
    <t>无目标</t>
  </si>
  <si>
    <t>单位目标</t>
  </si>
  <si>
    <t>点目标</t>
  </si>
  <si>
    <t>范围指示</t>
  </si>
  <si>
    <t>不能学习</t>
  </si>
  <si>
    <t>持续施法</t>
  </si>
  <si>
    <t>物品</t>
  </si>
  <si>
    <t>切换</t>
  </si>
  <si>
    <t>立即施放</t>
  </si>
  <si>
    <t>自动施法</t>
  </si>
  <si>
    <t>可选单位目标</t>
  </si>
  <si>
    <t>可选点目标</t>
  </si>
  <si>
    <t>可选无目标</t>
  </si>
  <si>
    <t>光环</t>
  </si>
  <si>
    <t>攻击</t>
  </si>
  <si>
    <t>不恢复移动</t>
  </si>
  <si>
    <t>缠绕禁用</t>
  </si>
  <si>
    <t>无限制</t>
  </si>
  <si>
    <t>忽略持续施法</t>
  </si>
  <si>
    <t>不取消移动</t>
  </si>
  <si>
    <t>不惊醒目标</t>
  </si>
  <si>
    <t>不恢复攻击</t>
  </si>
  <si>
    <t>偷取</t>
  </si>
  <si>
    <t>忽略后摇</t>
  </si>
  <si>
    <t>神符目标</t>
  </si>
  <si>
    <t>不取消持续施法</t>
  </si>
  <si>
    <t>末尾标记</t>
  </si>
  <si>
    <t>DOTA_ABILITY_BEHAVIOR_DIRECTIONAL</t>
    <phoneticPr fontId="1" type="noConversion"/>
  </si>
  <si>
    <t>指向</t>
    <phoneticPr fontId="1" type="noConversion"/>
  </si>
  <si>
    <t>DOTA_ABILITY_BEHAVIOR_OPTIONAL_UNIT_TARGET</t>
    <phoneticPr fontId="1" type="noConversion"/>
  </si>
  <si>
    <t>DOTA_ABILITY_BEHAVIOR_OPTIONAL_POINT</t>
    <phoneticPr fontId="1" type="noConversion"/>
  </si>
  <si>
    <t>DOTA_ABILITY_BEHAVIOR_OPTIONAL_NO_TARGET</t>
    <phoneticPr fontId="1" type="noConversion"/>
  </si>
  <si>
    <t>DOTA_ABILITY_BEHAVIOR_ROOT_DISABLES</t>
    <phoneticPr fontId="1" type="noConversion"/>
  </si>
  <si>
    <t>DOTA_ABILITY_BEHAVIOR_UNRESTRICTED</t>
    <phoneticPr fontId="1" type="noConversion"/>
  </si>
  <si>
    <t>忽略指令队列</t>
    <phoneticPr fontId="1" type="noConversion"/>
  </si>
  <si>
    <t>DOTA_ABILITY_BEHAVIOR_DONT_CANCEL_MOVEMENT</t>
    <phoneticPr fontId="1" type="noConversion"/>
  </si>
  <si>
    <t>bionic</t>
    <phoneticPr fontId="1" type="noConversion"/>
  </si>
  <si>
    <t>常用公式</t>
    <phoneticPr fontId="1" type="noConversion"/>
  </si>
  <si>
    <t>说明</t>
    <phoneticPr fontId="1" type="noConversion"/>
  </si>
  <si>
    <t>脚本路径生成</t>
    <phoneticPr fontId="1" type="noConversion"/>
  </si>
  <si>
    <t>铆钉城</t>
    <phoneticPr fontId="1" type="noConversion"/>
  </si>
  <si>
    <t>设定</t>
    <phoneticPr fontId="1" type="noConversion"/>
  </si>
  <si>
    <t>技能标签列数</t>
    <phoneticPr fontId="1" type="noConversion"/>
  </si>
  <si>
    <t>J</t>
    <phoneticPr fontId="1" type="noConversion"/>
  </si>
  <si>
    <t>Tag列数</t>
    <phoneticPr fontId="1" type="noConversion"/>
  </si>
  <si>
    <t>I</t>
    <phoneticPr fontId="1" type="noConversion"/>
  </si>
  <si>
    <t>abilities/spell/sp_revolt</t>
  </si>
  <si>
    <t>DOTA_ABILITY_BEHAVIOR_CHANNELLED</t>
    <phoneticPr fontId="1" type="noConversion"/>
  </si>
  <si>
    <t>AbilityType</t>
    <phoneticPr fontId="1" type="noConversion"/>
  </si>
  <si>
    <t>DOTA_ABILITY_TYPE_ULTIMATE</t>
  </si>
  <si>
    <t>DOTA_ABILITY_TYPE_ATTRIBUTES</t>
  </si>
  <si>
    <t>DOTA_ABILITY_TYPE_BASIC</t>
  </si>
  <si>
    <t>DOTA_ABILITY_TYPE_HIDDEN</t>
  </si>
  <si>
    <t>技能名</t>
    <phoneticPr fontId="1" type="noConversion"/>
  </si>
  <si>
    <t>备注</t>
    <phoneticPr fontId="1" type="noConversion"/>
  </si>
  <si>
    <t>基类</t>
    <phoneticPr fontId="1" type="noConversion"/>
  </si>
  <si>
    <t>脚本</t>
    <phoneticPr fontId="1" type="noConversion"/>
  </si>
  <si>
    <t>技能图标</t>
    <phoneticPr fontId="1" type="noConversion"/>
  </si>
  <si>
    <t>最大等级</t>
    <phoneticPr fontId="1" type="noConversion"/>
  </si>
  <si>
    <t>键值</t>
    <phoneticPr fontId="1" type="noConversion"/>
  </si>
  <si>
    <t>Name</t>
    <phoneticPr fontId="1" type="noConversion"/>
  </si>
  <si>
    <t>BaseClass</t>
    <phoneticPr fontId="1" type="noConversion"/>
  </si>
  <si>
    <t>ScriptFile</t>
    <phoneticPr fontId="1" type="noConversion"/>
  </si>
  <si>
    <t>AbilityTextureName</t>
    <phoneticPr fontId="1" type="noConversion"/>
  </si>
  <si>
    <t>AbilityUnitDamageType</t>
    <phoneticPr fontId="1" type="noConversion"/>
  </si>
  <si>
    <t>AbilitySpecial</t>
    <phoneticPr fontId="1" type="noConversion"/>
  </si>
  <si>
    <t>DAMAGE_TYPE_MAGICAL</t>
  </si>
  <si>
    <t>DAMAGE_TYPE_PHYSICAL</t>
  </si>
  <si>
    <t>DAMAGE_TYPE_ALL</t>
  </si>
  <si>
    <t>DAMAGE_TYPE_HP_REMOVAL</t>
  </si>
  <si>
    <t>DAMAGE_TYPE_NONE</t>
  </si>
  <si>
    <t>DAMAGE_TYPE_PURE</t>
  </si>
  <si>
    <t>SpellImmunityType</t>
  </si>
  <si>
    <t>SPELL_IMMUNITY_ENEMIES_NO</t>
  </si>
  <si>
    <t>SPELL_IMMUNITY_ENEMIES_YES</t>
    <phoneticPr fontId="1" type="noConversion"/>
  </si>
  <si>
    <t>基础等级</t>
    <phoneticPr fontId="1" type="noConversion"/>
  </si>
  <si>
    <t>是否出售</t>
    <phoneticPr fontId="1" type="noConversion"/>
  </si>
  <si>
    <t>能否购买</t>
    <phoneticPr fontId="1" type="noConversion"/>
  </si>
  <si>
    <t>永久的</t>
    <phoneticPr fontId="1" type="noConversion"/>
  </si>
  <si>
    <t>可叠加</t>
    <phoneticPr fontId="1" type="noConversion"/>
  </si>
  <si>
    <t>DOTA_ABILITY_BEHAVIOR_IMMEDIATE</t>
    <phoneticPr fontId="1" type="noConversion"/>
  </si>
  <si>
    <t>价格</t>
    <phoneticPr fontId="1" type="noConversion"/>
  </si>
  <si>
    <t>拾取使用</t>
    <phoneticPr fontId="1" type="noConversion"/>
  </si>
  <si>
    <t>初始数量</t>
    <phoneticPr fontId="1" type="noConversion"/>
  </si>
  <si>
    <t>ItemCastOnPickup</t>
    <phoneticPr fontId="1" type="noConversion"/>
  </si>
  <si>
    <t>MaxUpgradeLevel</t>
    <phoneticPr fontId="1" type="noConversion"/>
  </si>
  <si>
    <t>ItemBaseLevel</t>
    <phoneticPr fontId="1" type="noConversion"/>
  </si>
  <si>
    <t>ItemCost</t>
    <phoneticPr fontId="1" type="noConversion"/>
  </si>
  <si>
    <t>ItemSellable</t>
    <phoneticPr fontId="1" type="noConversion"/>
  </si>
  <si>
    <t>ItemPurchasable</t>
    <phoneticPr fontId="1" type="noConversion"/>
  </si>
  <si>
    <t>ItemPermanent</t>
    <phoneticPr fontId="1" type="noConversion"/>
  </si>
  <si>
    <t>ItemStackable</t>
    <phoneticPr fontId="1" type="noConversion"/>
  </si>
  <si>
    <t>ItemInitialCharges</t>
    <phoneticPr fontId="1" type="noConversion"/>
  </si>
  <si>
    <t>item_lua</t>
    <phoneticPr fontId="1" type="noConversion"/>
  </si>
  <si>
    <t>AbilityUnitTargetType</t>
    <phoneticPr fontId="1" type="noConversion"/>
  </si>
  <si>
    <t>目标类型</t>
    <phoneticPr fontId="1" type="noConversion"/>
  </si>
  <si>
    <t>AbilityUnitTargetFlags</t>
    <phoneticPr fontId="1" type="noConversion"/>
  </si>
  <si>
    <t>目标标记</t>
    <phoneticPr fontId="1" type="noConversion"/>
  </si>
  <si>
    <t>施法距离</t>
    <phoneticPr fontId="1" type="noConversion"/>
  </si>
  <si>
    <t>item_clarity1</t>
    <phoneticPr fontId="1" type="noConversion"/>
  </si>
  <si>
    <t>小净化药水</t>
    <phoneticPr fontId="1" type="noConversion"/>
  </si>
  <si>
    <t>中净化药水</t>
    <phoneticPr fontId="1" type="noConversion"/>
  </si>
  <si>
    <t>大净化药水</t>
    <phoneticPr fontId="1" type="noConversion"/>
  </si>
  <si>
    <t>超净化药水</t>
    <phoneticPr fontId="1" type="noConversion"/>
  </si>
  <si>
    <t>Note</t>
    <phoneticPr fontId="1" type="noConversion"/>
  </si>
  <si>
    <t>item_clarity2</t>
    <phoneticPr fontId="1" type="noConversion"/>
  </si>
  <si>
    <t>models/props_gameplay/clarity.vmdl</t>
    <phoneticPr fontId="1" type="noConversion"/>
  </si>
  <si>
    <t>模型</t>
    <phoneticPr fontId="1" type="noConversion"/>
  </si>
  <si>
    <t>特效</t>
    <phoneticPr fontId="1" type="noConversion"/>
  </si>
  <si>
    <t>DOTA_ABILITY_BEHAVIOR_IMMEDIATE | DOTA_ABILITY_BEHAVIOR_NO_TARGET | DOTA_ABILITY_BEHAVIOR_DONT_RESUME_ATTACK</t>
    <phoneticPr fontId="1" type="noConversion"/>
  </si>
  <si>
    <t>total_mana</t>
    <phoneticPr fontId="1" type="noConversion"/>
  </si>
  <si>
    <t>mana_per_tick</t>
    <phoneticPr fontId="1" type="noConversion"/>
  </si>
  <si>
    <t>buff_duration</t>
    <phoneticPr fontId="1" type="noConversion"/>
  </si>
  <si>
    <t>ItemQuality</t>
    <phoneticPr fontId="1" type="noConversion"/>
  </si>
  <si>
    <t>consumable</t>
    <phoneticPr fontId="1" type="noConversion"/>
  </si>
  <si>
    <t>品质</t>
    <phoneticPr fontId="1" type="noConversion"/>
  </si>
  <si>
    <t>ItemShareability</t>
    <phoneticPr fontId="1" type="noConversion"/>
  </si>
  <si>
    <t>ITEM_FULLY_SHAREABLE_STACKING</t>
    <phoneticPr fontId="1" type="noConversion"/>
  </si>
  <si>
    <t>共享</t>
    <phoneticPr fontId="1" type="noConversion"/>
  </si>
  <si>
    <t>item_salve1</t>
    <phoneticPr fontId="1" type="noConversion"/>
  </si>
  <si>
    <t>total_hp</t>
    <phoneticPr fontId="1" type="noConversion"/>
  </si>
  <si>
    <t>hp_per_tick</t>
    <phoneticPr fontId="1" type="noConversion"/>
  </si>
  <si>
    <t>item_salve1_pack</t>
    <phoneticPr fontId="1" type="noConversion"/>
  </si>
  <si>
    <t>小回复药水包</t>
    <phoneticPr fontId="1" type="noConversion"/>
  </si>
  <si>
    <t>item_clarity1_pack</t>
    <phoneticPr fontId="1" type="noConversion"/>
  </si>
  <si>
    <t>小净化药水包</t>
    <phoneticPr fontId="1" type="noConversion"/>
  </si>
  <si>
    <t>count</t>
    <phoneticPr fontId="1" type="noConversion"/>
  </si>
  <si>
    <t>item_str_book</t>
    <phoneticPr fontId="1" type="noConversion"/>
  </si>
  <si>
    <t>item_str_book_pack</t>
    <phoneticPr fontId="1" type="noConversion"/>
  </si>
  <si>
    <t>item_str_book_pack_100</t>
    <phoneticPr fontId="1" type="noConversion"/>
  </si>
  <si>
    <t>力量之书</t>
    <phoneticPr fontId="1" type="noConversion"/>
  </si>
  <si>
    <t>力量之书捆绑包</t>
    <phoneticPr fontId="1" type="noConversion"/>
  </si>
  <si>
    <t>力量之书超大捆绑包</t>
    <phoneticPr fontId="1" type="noConversion"/>
  </si>
  <si>
    <t>item_agi_book_pack</t>
    <phoneticPr fontId="1" type="noConversion"/>
  </si>
  <si>
    <t>item_int_book_pack</t>
    <phoneticPr fontId="1" type="noConversion"/>
  </si>
  <si>
    <t>虚幻之书</t>
    <phoneticPr fontId="1" type="noConversion"/>
  </si>
  <si>
    <t>魔力之书</t>
    <phoneticPr fontId="1" type="noConversion"/>
  </si>
  <si>
    <t>虚幻之书捆绑包</t>
    <phoneticPr fontId="1" type="noConversion"/>
  </si>
  <si>
    <t>魔力之书捆绑包</t>
    <phoneticPr fontId="1" type="noConversion"/>
  </si>
  <si>
    <t>item_agi_book_pack_100</t>
    <phoneticPr fontId="1" type="noConversion"/>
  </si>
  <si>
    <t>item_int_book_pack_100</t>
    <phoneticPr fontId="1" type="noConversion"/>
  </si>
  <si>
    <t>虚幻之书超大捆绑包</t>
    <phoneticPr fontId="1" type="noConversion"/>
  </si>
  <si>
    <t>魔力之书超大捆绑包</t>
    <phoneticPr fontId="1" type="noConversion"/>
  </si>
  <si>
    <t>item_clarity3</t>
    <phoneticPr fontId="1" type="noConversion"/>
  </si>
  <si>
    <t>item_clarity4</t>
    <phoneticPr fontId="1" type="noConversion"/>
  </si>
  <si>
    <t>item_salve2</t>
    <phoneticPr fontId="1" type="noConversion"/>
  </si>
  <si>
    <t>item_salve3</t>
    <phoneticPr fontId="1" type="noConversion"/>
  </si>
  <si>
    <t>item_salve4</t>
    <phoneticPr fontId="1" type="noConversion"/>
  </si>
  <si>
    <t>小回复药水</t>
    <phoneticPr fontId="1" type="noConversion"/>
  </si>
  <si>
    <t>中回复药水</t>
    <phoneticPr fontId="1" type="noConversion"/>
  </si>
  <si>
    <t>大回复药水</t>
    <phoneticPr fontId="1" type="noConversion"/>
  </si>
  <si>
    <t>超回复药水</t>
    <phoneticPr fontId="1" type="noConversion"/>
  </si>
  <si>
    <t>item_datadriven</t>
    <phoneticPr fontId="1" type="noConversion"/>
  </si>
  <si>
    <t>ID</t>
  </si>
  <si>
    <t>Model</t>
    <phoneticPr fontId="1" type="noConversion"/>
  </si>
  <si>
    <t>models/props_gameplay/salve_red.vmdl</t>
    <phoneticPr fontId="1" type="noConversion"/>
  </si>
  <si>
    <t>Effect</t>
    <phoneticPr fontId="1" type="noConversion"/>
  </si>
  <si>
    <t>AbilityCastRange</t>
    <phoneticPr fontId="1" type="noConversion"/>
  </si>
  <si>
    <t>item_agi_book</t>
    <phoneticPr fontId="1" type="noConversion"/>
  </si>
  <si>
    <t>item_int_book</t>
    <phoneticPr fontId="1" type="noConversion"/>
  </si>
  <si>
    <t>施法距离</t>
  </si>
  <si>
    <t>item_jian_1</t>
    <phoneticPr fontId="1" type="noConversion"/>
  </si>
  <si>
    <t>item_fazhang_1</t>
    <phoneticPr fontId="1" type="noConversion"/>
  </si>
  <si>
    <t>item_gong_1</t>
    <phoneticPr fontId="1" type="noConversion"/>
  </si>
  <si>
    <t>component</t>
    <phoneticPr fontId="1" type="noConversion"/>
  </si>
  <si>
    <t>ITEM_FULLY_SHAREABLE</t>
    <phoneticPr fontId="1" type="noConversion"/>
  </si>
  <si>
    <t>DOTA_ABILITY_BEHAVIOR_IMMEDIATE | DOTA_ABILITY_BEHAVIOR_UNIT_TARGET | DOTA_ABILITY_BEHAVIOR_POINT | DOTA_ABILITY_BEHAVIOR_AOE</t>
    <phoneticPr fontId="1" type="noConversion"/>
  </si>
  <si>
    <t>DOTA_UNIT_TARGET_HERO | DOTA_UNIT_TARGET_BASIC</t>
    <phoneticPr fontId="1" type="noConversion"/>
  </si>
  <si>
    <t>AbilityUnitTargetTeam</t>
    <phoneticPr fontId="1" type="noConversion"/>
  </si>
  <si>
    <t>目标队伍</t>
    <phoneticPr fontId="1" type="noConversion"/>
  </si>
  <si>
    <t>DOTA_UNIT_TARGET_TEAM_ENEMY</t>
    <phoneticPr fontId="1" type="noConversion"/>
  </si>
  <si>
    <t>ItemDisassembleRule</t>
    <phoneticPr fontId="1" type="noConversion"/>
  </si>
  <si>
    <t>拆分</t>
    <phoneticPr fontId="1" type="noConversion"/>
  </si>
  <si>
    <t>DOTA_ITEM_DISASSEMBLE_NEVER</t>
    <phoneticPr fontId="1" type="noConversion"/>
  </si>
  <si>
    <t>critical_chance</t>
    <phoneticPr fontId="1" type="noConversion"/>
  </si>
  <si>
    <t>auto_attack</t>
  </si>
  <si>
    <t>auto_attackspeed</t>
  </si>
  <si>
    <t>auto_movespeed</t>
  </si>
  <si>
    <t>auto_physical_armor</t>
  </si>
  <si>
    <t>auto_magical_resistance</t>
  </si>
  <si>
    <t>auto_str</t>
  </si>
  <si>
    <t>auto_agi</t>
  </si>
  <si>
    <t>auto_int</t>
  </si>
  <si>
    <t>auto_all</t>
  </si>
  <si>
    <t>auto_health</t>
  </si>
  <si>
    <t>auto_health_regen</t>
  </si>
  <si>
    <t>auto_mana</t>
  </si>
  <si>
    <t>auto_mana_regen</t>
  </si>
  <si>
    <t>auto_spell_amp</t>
  </si>
  <si>
    <t>auto_evasion</t>
  </si>
  <si>
    <t>auto_cast_range</t>
  </si>
  <si>
    <t>auto_status_resist</t>
  </si>
  <si>
    <t>自动属性</t>
    <phoneticPr fontId="1" type="noConversion"/>
  </si>
  <si>
    <t>攻击力</t>
  </si>
  <si>
    <t>攻击速度</t>
  </si>
  <si>
    <t>移动速度</t>
  </si>
  <si>
    <t>物理防御</t>
  </si>
  <si>
    <t>魔法抗性</t>
  </si>
  <si>
    <t>力量</t>
  </si>
  <si>
    <t>敏捷</t>
  </si>
  <si>
    <t>智力</t>
  </si>
  <si>
    <t>全属性</t>
  </si>
  <si>
    <t>生命值</t>
  </si>
  <si>
    <t>生命恢复</t>
  </si>
  <si>
    <t>魔法值</t>
  </si>
  <si>
    <t>魔法恢复</t>
  </si>
  <si>
    <t>技能增强</t>
  </si>
  <si>
    <t>闪避</t>
  </si>
  <si>
    <t>状态抗性</t>
  </si>
  <si>
    <t>critical_damage</t>
    <phoneticPr fontId="1" type="noConversion"/>
  </si>
  <si>
    <t>split_count</t>
    <phoneticPr fontId="1" type="noConversion"/>
  </si>
  <si>
    <t>radius</t>
    <phoneticPr fontId="1" type="noConversion"/>
  </si>
  <si>
    <t>damage</t>
    <phoneticPr fontId="1" type="noConversion"/>
  </si>
  <si>
    <t>magical_damage_pct</t>
    <phoneticPr fontId="1" type="noConversion"/>
  </si>
  <si>
    <t>item_jian_2</t>
    <phoneticPr fontId="1" type="noConversion"/>
  </si>
  <si>
    <t>item_jian_3</t>
    <phoneticPr fontId="1" type="noConversion"/>
  </si>
  <si>
    <t>item_jian_4</t>
    <phoneticPr fontId="1" type="noConversion"/>
  </si>
  <si>
    <t>item_jian_5</t>
    <phoneticPr fontId="1" type="noConversion"/>
  </si>
  <si>
    <t>item_fazhang_2</t>
    <phoneticPr fontId="1" type="noConversion"/>
  </si>
  <si>
    <t>item_fazhang_3</t>
    <phoneticPr fontId="1" type="noConversion"/>
  </si>
  <si>
    <t>item_fazhang_4</t>
    <phoneticPr fontId="1" type="noConversion"/>
  </si>
  <si>
    <t>item_fazhang_5</t>
    <phoneticPr fontId="1" type="noConversion"/>
  </si>
  <si>
    <t>item_gong_2</t>
    <phoneticPr fontId="1" type="noConversion"/>
  </si>
  <si>
    <t>item_gong_3</t>
    <phoneticPr fontId="1" type="noConversion"/>
  </si>
  <si>
    <t>item_gong_4</t>
    <phoneticPr fontId="1" type="noConversion"/>
  </si>
  <si>
    <t>item_gong_5</t>
    <phoneticPr fontId="1" type="noConversion"/>
  </si>
  <si>
    <t>ItemType</t>
  </si>
  <si>
    <t>consumable</t>
  </si>
  <si>
    <t>weapon</t>
  </si>
  <si>
    <t>auto_spell_amp</t>
    <phoneticPr fontId="1" type="noConversion"/>
  </si>
  <si>
    <t>auto_attack</t>
    <phoneticPr fontId="1" type="noConversion"/>
  </si>
  <si>
    <t>auto_agi</t>
    <phoneticPr fontId="1" type="noConversion"/>
  </si>
  <si>
    <t>auto_int</t>
    <phoneticPr fontId="1" type="noConversion"/>
  </si>
  <si>
    <t>item_jia_1</t>
    <phoneticPr fontId="1" type="noConversion"/>
  </si>
  <si>
    <t>item_xie_1</t>
    <phoneticPr fontId="1" type="noConversion"/>
  </si>
  <si>
    <t>avoid_chance</t>
    <phoneticPr fontId="1" type="noConversion"/>
  </si>
  <si>
    <t>auto_magical_resistance</t>
    <phoneticPr fontId="1" type="noConversion"/>
  </si>
  <si>
    <t>auto_physical_armor</t>
    <phoneticPr fontId="1" type="noConversion"/>
  </si>
  <si>
    <t>AbilityCooldown</t>
    <phoneticPr fontId="1" type="noConversion"/>
  </si>
  <si>
    <t>冷却时间</t>
    <phoneticPr fontId="1" type="noConversion"/>
  </si>
  <si>
    <t>AbilityManaCost</t>
    <phoneticPr fontId="1" type="noConversion"/>
  </si>
  <si>
    <t>魔法消耗</t>
    <phoneticPr fontId="1" type="noConversion"/>
  </si>
  <si>
    <t>伤害类型</t>
    <phoneticPr fontId="1" type="noConversion"/>
  </si>
  <si>
    <t>DAMAGE_TYPE_MAGICAL</t>
    <phoneticPr fontId="1" type="noConversion"/>
  </si>
  <si>
    <t>item_jian_6</t>
    <phoneticPr fontId="1" type="noConversion"/>
  </si>
  <si>
    <t>item_jian_7</t>
    <phoneticPr fontId="1" type="noConversion"/>
  </si>
  <si>
    <t>item_jian_8</t>
    <phoneticPr fontId="1" type="noConversion"/>
  </si>
  <si>
    <t>item_jian_9</t>
    <phoneticPr fontId="1" type="noConversion"/>
  </si>
  <si>
    <t>item_fazhang_6</t>
    <phoneticPr fontId="1" type="noConversion"/>
  </si>
  <si>
    <t>item_fazhang_7</t>
    <phoneticPr fontId="1" type="noConversion"/>
  </si>
  <si>
    <t>item_fazhang_8</t>
    <phoneticPr fontId="1" type="noConversion"/>
  </si>
  <si>
    <t>item_fazhang_9</t>
    <phoneticPr fontId="1" type="noConversion"/>
  </si>
  <si>
    <t>item_gong_6</t>
    <phoneticPr fontId="1" type="noConversion"/>
  </si>
  <si>
    <t>item_gong_7</t>
    <phoneticPr fontId="1" type="noConversion"/>
  </si>
  <si>
    <t>item_gong_8</t>
    <phoneticPr fontId="1" type="noConversion"/>
  </si>
  <si>
    <t>item_gong_9</t>
    <phoneticPr fontId="1" type="noConversion"/>
  </si>
  <si>
    <t>item_jia_2</t>
    <phoneticPr fontId="1" type="noConversion"/>
  </si>
  <si>
    <t>item_jia_3</t>
    <phoneticPr fontId="1" type="noConversion"/>
  </si>
  <si>
    <t>item_jia_4</t>
    <phoneticPr fontId="1" type="noConversion"/>
  </si>
  <si>
    <t>item_jia_5</t>
    <phoneticPr fontId="1" type="noConversion"/>
  </si>
  <si>
    <t>item_xie_2</t>
    <phoneticPr fontId="1" type="noConversion"/>
  </si>
  <si>
    <t>item_xie_3</t>
    <phoneticPr fontId="1" type="noConversion"/>
  </si>
  <si>
    <t>item_xie_4</t>
    <phoneticPr fontId="1" type="noConversion"/>
  </si>
  <si>
    <t>item_xie_5</t>
    <phoneticPr fontId="1" type="noConversion"/>
  </si>
  <si>
    <t>auto_health</t>
    <phoneticPr fontId="1" type="noConversion"/>
  </si>
  <si>
    <t>auto_movespeed</t>
    <phoneticPr fontId="1" type="noConversion"/>
  </si>
  <si>
    <t>auto_mana</t>
    <phoneticPr fontId="1" type="noConversion"/>
  </si>
  <si>
    <t>item_enchant_critical</t>
    <phoneticPr fontId="1" type="noConversion"/>
  </si>
  <si>
    <t>item_enchant_lifesteal</t>
    <phoneticPr fontId="1" type="noConversion"/>
  </si>
  <si>
    <t>item_enchant</t>
    <phoneticPr fontId="1" type="noConversion"/>
  </si>
  <si>
    <t>item_enchant_reduce_armor</t>
    <phoneticPr fontId="1" type="noConversion"/>
  </si>
  <si>
    <t>item_enchant_reduce_resistance</t>
    <phoneticPr fontId="1" type="noConversion"/>
  </si>
  <si>
    <t>critical_mutiple</t>
    <phoneticPr fontId="1" type="noConversion"/>
  </si>
  <si>
    <t>lifesteal</t>
    <phoneticPr fontId="1" type="noConversion"/>
  </si>
  <si>
    <t>reduce</t>
    <phoneticPr fontId="1" type="noConversion"/>
  </si>
  <si>
    <t>ItemType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</si>
</sst>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scheme val="minor"/>
    </font>
    <font>
      <sz val="9"/>
      <name val="等线"/>
      <family val="3"/>
      <charset val="134"/>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style="thin">
        <color theme="0"/>
      </bottom>
      <diagonal/>
    </border>
  </borders>
  <cellStyleXfs count="1">
    <xf numFmtId="0" fontId="0" fillId="0" borderId="0"/>
  </cellStyleXfs>
  <cellXfs count="11">
    <xf numFmtId="0" fontId="0" fillId="0" borderId="0" xfId="0"/>
    <xf numFmtId="0" fontId="0" fillId="0" borderId="0" xfId="0" applyBorder="1" applyAlignment="1">
      <alignment horizontal="right"/>
    </xf>
    <xf numFmtId="0" fontId="0" fillId="0" borderId="1" xfId="0" applyBorder="1" applyAlignment="1">
      <alignment horizontal="right"/>
    </xf>
    <xf numFmtId="0" fontId="0" fillId="0" borderId="0" xfId="0" applyBorder="1" applyAlignment="1">
      <alignment horizontal="center"/>
    </xf>
    <xf numFmtId="0" fontId="0" fillId="2" borderId="0" xfId="0" applyFill="1" applyBorder="1" applyAlignment="1">
      <alignment horizontal="center"/>
    </xf>
    <xf numFmtId="0" fontId="0" fillId="0" borderId="3" xfId="0" applyBorder="1" applyAlignment="1">
      <alignment horizontal="right"/>
    </xf>
    <xf numFmtId="0" fontId="0" fillId="3" borderId="2" xfId="0" applyFill="1" applyBorder="1" applyAlignment="1">
      <alignment horizontal="center"/>
    </xf>
    <xf numFmtId="0" fontId="0" fillId="0" borderId="2" xfId="0" applyBorder="1" applyAlignment="1">
      <alignment horizontal="center"/>
    </xf>
    <xf numFmtId="0" fontId="0" fillId="0" borderId="2" xfId="0" applyBorder="1"/>
    <xf numFmtId="0" fontId="0" fillId="0" borderId="0" xfId="0" applyAlignment="1">
      <alignment horizontal="center"/>
    </xf>
    <xf numFmtId="0" fontId="0" fillId="0" borderId="0" xfId="0" applyAlignment="1">
      <alignment horizontal="right"/>
    </xf>
  </cellXfs>
  <cellStyles count="1">
    <cellStyle name="常规" xfId="0" builtinId="0"/>
  </cellStyles>
  <dxfs count="18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2E353D"/>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24"/>
  <sheetViews>
    <sheetView tabSelected="1" workbookViewId="0">
      <pane xSplit="2" ySplit="2" topLeftCell="J108" activePane="bottomRight" state="frozen"/>
      <selection pane="topRight" activeCell="C1" sqref="C1"/>
      <selection pane="bottomLeft" activeCell="A3" sqref="A3"/>
      <selection pane="bottomRight" activeCell="M115" sqref="M115:M122"/>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282</v>
      </c>
      <c r="M1" s="6" t="s">
        <v>4</v>
      </c>
      <c r="N1" s="6" t="s">
        <v>279</v>
      </c>
      <c r="O1" s="6" t="s">
        <v>205</v>
      </c>
      <c r="P1" s="6" t="s">
        <v>207</v>
      </c>
      <c r="Q1" s="6" t="s">
        <v>352</v>
      </c>
      <c r="R1" s="6" t="s">
        <v>168</v>
      </c>
      <c r="S1" s="6" t="s">
        <v>185</v>
      </c>
      <c r="T1" s="6" t="s">
        <v>191</v>
      </c>
      <c r="U1" s="6" t="s">
        <v>186</v>
      </c>
      <c r="V1" s="6" t="s">
        <v>187</v>
      </c>
      <c r="W1" s="6" t="s">
        <v>188</v>
      </c>
      <c r="X1" s="6" t="s">
        <v>189</v>
      </c>
      <c r="Y1" s="6" t="s">
        <v>192</v>
      </c>
      <c r="Z1" s="6" t="s">
        <v>193</v>
      </c>
      <c r="AA1" s="6" t="s">
        <v>208</v>
      </c>
      <c r="AB1" s="6" t="s">
        <v>351</v>
      </c>
      <c r="AC1" s="6" t="s">
        <v>349</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385</v>
      </c>
      <c r="J2" s="6" t="s">
        <v>223</v>
      </c>
      <c r="K2" s="6" t="s">
        <v>226</v>
      </c>
      <c r="L2" s="6" t="s">
        <v>281</v>
      </c>
      <c r="M2" s="6" t="s">
        <v>1</v>
      </c>
      <c r="N2" s="6" t="s">
        <v>278</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350</v>
      </c>
      <c r="AC2" s="6" t="s">
        <v>348</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337</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337</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337</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337</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 t="shared" ref="D11" si="3">"abilities/items/"&amp;I11&amp;"/item_clarity"</f>
        <v>abilities/items/consumable/item_clarity</v>
      </c>
      <c r="E11" s="4"/>
      <c r="F11" s="9" t="s">
        <v>265</v>
      </c>
      <c r="G11" s="9"/>
      <c r="H11" s="9" t="s">
        <v>229</v>
      </c>
      <c r="I11" s="3" t="s">
        <v>337</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 si="4">"abilities/items/"&amp;I13&amp;"/item_clarity"</f>
        <v>abilities/items/consumable/item_clarity</v>
      </c>
      <c r="E13" s="4"/>
      <c r="F13" s="9" t="s">
        <v>265</v>
      </c>
      <c r="G13" s="9"/>
      <c r="H13" s="9" t="s">
        <v>255</v>
      </c>
      <c r="I13" s="3" t="s">
        <v>337</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 si="5">"abilities/items/"&amp;I15&amp;"/item_clarity"</f>
        <v>abilities/items/consumable/item_clarity</v>
      </c>
      <c r="E15" s="4"/>
      <c r="F15" s="9" t="s">
        <v>265</v>
      </c>
      <c r="G15" s="9"/>
      <c r="H15" s="9" t="s">
        <v>256</v>
      </c>
      <c r="I15" s="3" t="s">
        <v>337</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6">"abilities/items/"&amp;I17&amp;"/item_clarity"</f>
        <v>abilities/items/consumable/item_clarity</v>
      </c>
      <c r="E17" s="4"/>
      <c r="F17" s="9" t="s">
        <v>265</v>
      </c>
      <c r="G17" s="9"/>
      <c r="H17" s="9" t="s">
        <v>257</v>
      </c>
      <c r="I17" s="3" t="s">
        <v>337</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t="str">
        <f t="shared" ref="D19" si="7">"abilities/items/"&amp;I19&amp;"/item_clarity"</f>
        <v>abilities/items/consumable/item_clarity</v>
      </c>
      <c r="E19" s="4"/>
      <c r="F19" s="9" t="s">
        <v>265</v>
      </c>
      <c r="G19" s="9"/>
      <c r="H19" s="9" t="s">
        <v>232</v>
      </c>
      <c r="I19" s="3" t="s">
        <v>337</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t="str">
        <f t="shared" ref="D21" si="8">"abilities/items/"&amp;I21&amp;"/item_clarity"</f>
        <v>abilities/items/consumable/item_clarity</v>
      </c>
      <c r="E21" s="4"/>
      <c r="F21" s="9" t="s">
        <v>265</v>
      </c>
      <c r="G21" s="9"/>
      <c r="H21" s="9" t="s">
        <v>234</v>
      </c>
      <c r="I21" s="3" t="s">
        <v>337</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337</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337</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337</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337</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337</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337</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337</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337</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337</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271</v>
      </c>
      <c r="B41" s="9"/>
      <c r="C41" s="9" t="s">
        <v>203</v>
      </c>
      <c r="D41" s="4" t="str">
        <f>"abilities/items/"&amp;I41&amp;"/item_jian"</f>
        <v>abilities/items/weapon/item_jian</v>
      </c>
      <c r="E41" s="9"/>
      <c r="F41" s="9"/>
      <c r="G41" s="9"/>
      <c r="H41" s="9" t="s">
        <v>271</v>
      </c>
      <c r="I41" s="9" t="s">
        <v>338</v>
      </c>
      <c r="J41" s="9" t="s">
        <v>274</v>
      </c>
      <c r="K41" s="9" t="s">
        <v>275</v>
      </c>
      <c r="L41" s="9" t="s">
        <v>283</v>
      </c>
      <c r="M41" s="9" t="s">
        <v>0</v>
      </c>
      <c r="N41" s="9" t="s">
        <v>280</v>
      </c>
      <c r="O41" s="9" t="s">
        <v>277</v>
      </c>
      <c r="P41" s="9"/>
      <c r="Q41" s="9"/>
      <c r="R41" s="9"/>
      <c r="S41" s="9"/>
      <c r="T41" s="9">
        <v>1500</v>
      </c>
      <c r="U41" s="9"/>
      <c r="V41" s="9"/>
      <c r="W41" s="9"/>
      <c r="X41" s="9"/>
      <c r="Y41" s="9"/>
      <c r="Z41" s="9"/>
      <c r="AA41" s="9"/>
      <c r="AB41" s="9"/>
      <c r="AC41" s="9"/>
      <c r="AD41" s="10" t="s">
        <v>339</v>
      </c>
      <c r="AE41" s="10" t="s">
        <v>340</v>
      </c>
      <c r="AF41" s="10" t="s">
        <v>341</v>
      </c>
      <c r="AG41" s="10" t="s">
        <v>319</v>
      </c>
      <c r="AH41" s="10" t="s">
        <v>284</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324</v>
      </c>
      <c r="B43" s="9"/>
      <c r="C43" s="9" t="s">
        <v>203</v>
      </c>
      <c r="D43" s="4" t="str">
        <f t="shared" ref="D43" si="9">"abilities/items/"&amp;I43&amp;"/item_jian"</f>
        <v>abilities/items/weapon/item_jian</v>
      </c>
      <c r="E43" s="9"/>
      <c r="F43" s="9"/>
      <c r="G43" s="9"/>
      <c r="H43" s="9" t="s">
        <v>324</v>
      </c>
      <c r="I43" s="9" t="s">
        <v>338</v>
      </c>
      <c r="J43" s="9" t="s">
        <v>274</v>
      </c>
      <c r="K43" s="9" t="s">
        <v>275</v>
      </c>
      <c r="L43" s="9" t="s">
        <v>283</v>
      </c>
      <c r="M43" s="9" t="s">
        <v>0</v>
      </c>
      <c r="N43" s="9" t="s">
        <v>280</v>
      </c>
      <c r="O43" s="9" t="s">
        <v>277</v>
      </c>
      <c r="P43" s="9"/>
      <c r="Q43" s="9"/>
      <c r="R43" s="9"/>
      <c r="S43" s="9"/>
      <c r="T43" s="9">
        <v>4500</v>
      </c>
      <c r="U43" s="9"/>
      <c r="V43" s="9"/>
      <c r="W43" s="9"/>
      <c r="X43" s="9"/>
      <c r="Y43" s="9"/>
      <c r="Z43" s="9"/>
      <c r="AA43" s="9"/>
      <c r="AB43" s="9"/>
      <c r="AC43" s="9"/>
      <c r="AD43" s="10" t="s">
        <v>339</v>
      </c>
      <c r="AE43" s="10" t="s">
        <v>340</v>
      </c>
      <c r="AF43" s="10" t="s">
        <v>341</v>
      </c>
      <c r="AG43" s="10" t="s">
        <v>319</v>
      </c>
      <c r="AH43" s="10" t="s">
        <v>284</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325</v>
      </c>
      <c r="B45" s="9"/>
      <c r="C45" s="9" t="s">
        <v>203</v>
      </c>
      <c r="D45" s="4" t="str">
        <f t="shared" ref="D45" si="10">"abilities/items/"&amp;I45&amp;"/item_jian"</f>
        <v>abilities/items/weapon/item_jian</v>
      </c>
      <c r="E45" s="9"/>
      <c r="F45" s="9"/>
      <c r="G45" s="9"/>
      <c r="H45" s="9" t="s">
        <v>325</v>
      </c>
      <c r="I45" s="9" t="s">
        <v>338</v>
      </c>
      <c r="J45" s="9" t="s">
        <v>274</v>
      </c>
      <c r="K45" s="9" t="s">
        <v>275</v>
      </c>
      <c r="L45" s="9" t="s">
        <v>283</v>
      </c>
      <c r="M45" s="9" t="s">
        <v>0</v>
      </c>
      <c r="N45" s="9" t="s">
        <v>280</v>
      </c>
      <c r="O45" s="9" t="s">
        <v>277</v>
      </c>
      <c r="P45" s="9"/>
      <c r="Q45" s="9"/>
      <c r="R45" s="9"/>
      <c r="S45" s="9"/>
      <c r="T45" s="9">
        <v>10500</v>
      </c>
      <c r="U45" s="9"/>
      <c r="V45" s="9"/>
      <c r="W45" s="9"/>
      <c r="X45" s="9"/>
      <c r="Y45" s="9"/>
      <c r="Z45" s="9"/>
      <c r="AA45" s="9"/>
      <c r="AB45" s="9"/>
      <c r="AC45" s="9"/>
      <c r="AD45" s="10" t="s">
        <v>339</v>
      </c>
      <c r="AE45" s="10" t="s">
        <v>340</v>
      </c>
      <c r="AF45" s="10" t="s">
        <v>341</v>
      </c>
      <c r="AG45" s="10" t="s">
        <v>319</v>
      </c>
      <c r="AH45" s="10" t="s">
        <v>284</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326</v>
      </c>
      <c r="B47" s="9"/>
      <c r="C47" s="9" t="s">
        <v>203</v>
      </c>
      <c r="D47" s="4" t="str">
        <f t="shared" ref="D47" si="11">"abilities/items/"&amp;I47&amp;"/item_jian"</f>
        <v>abilities/items/weapon/item_jian</v>
      </c>
      <c r="E47" s="9"/>
      <c r="F47" s="9"/>
      <c r="G47" s="9"/>
      <c r="H47" s="9" t="s">
        <v>326</v>
      </c>
      <c r="I47" s="9" t="s">
        <v>338</v>
      </c>
      <c r="J47" s="9" t="s">
        <v>274</v>
      </c>
      <c r="K47" s="9" t="s">
        <v>275</v>
      </c>
      <c r="L47" s="9" t="s">
        <v>283</v>
      </c>
      <c r="M47" s="9" t="s">
        <v>0</v>
      </c>
      <c r="N47" s="9" t="s">
        <v>280</v>
      </c>
      <c r="O47" s="9" t="s">
        <v>277</v>
      </c>
      <c r="P47" s="9"/>
      <c r="Q47" s="9"/>
      <c r="R47" s="9"/>
      <c r="S47" s="9"/>
      <c r="T47" s="9">
        <v>22500</v>
      </c>
      <c r="U47" s="9"/>
      <c r="V47" s="9"/>
      <c r="W47" s="9"/>
      <c r="X47" s="9"/>
      <c r="Y47" s="9"/>
      <c r="Z47" s="9"/>
      <c r="AA47" s="9"/>
      <c r="AB47" s="9"/>
      <c r="AC47" s="9"/>
      <c r="AD47" s="10" t="s">
        <v>339</v>
      </c>
      <c r="AE47" s="10" t="s">
        <v>340</v>
      </c>
      <c r="AF47" s="10" t="s">
        <v>341</v>
      </c>
      <c r="AG47" s="10" t="s">
        <v>319</v>
      </c>
      <c r="AH47" s="10" t="s">
        <v>284</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327</v>
      </c>
      <c r="B49" s="9"/>
      <c r="C49" s="9" t="s">
        <v>203</v>
      </c>
      <c r="D49" s="4" t="str">
        <f t="shared" ref="D49" si="12">"abilities/items/"&amp;I49&amp;"/item_jian"</f>
        <v>abilities/items/weapon/item_jian</v>
      </c>
      <c r="E49" s="9"/>
      <c r="F49" s="9"/>
      <c r="G49" s="9"/>
      <c r="H49" s="9" t="s">
        <v>327</v>
      </c>
      <c r="I49" s="9" t="s">
        <v>338</v>
      </c>
      <c r="J49" s="9" t="s">
        <v>274</v>
      </c>
      <c r="K49" s="9" t="s">
        <v>275</v>
      </c>
      <c r="L49" s="9" t="s">
        <v>283</v>
      </c>
      <c r="M49" s="9" t="s">
        <v>0</v>
      </c>
      <c r="N49" s="9" t="s">
        <v>280</v>
      </c>
      <c r="O49" s="9" t="s">
        <v>277</v>
      </c>
      <c r="P49" s="9"/>
      <c r="Q49" s="9"/>
      <c r="R49" s="9"/>
      <c r="S49" s="9"/>
      <c r="T49" s="9">
        <v>46500</v>
      </c>
      <c r="U49" s="9"/>
      <c r="V49" s="9"/>
      <c r="W49" s="9"/>
      <c r="X49" s="9"/>
      <c r="Y49" s="9"/>
      <c r="Z49" s="9"/>
      <c r="AA49" s="9"/>
      <c r="AB49" s="9"/>
      <c r="AC49" s="9"/>
      <c r="AD49" s="10" t="s">
        <v>339</v>
      </c>
      <c r="AE49" s="10" t="s">
        <v>340</v>
      </c>
      <c r="AF49" s="10" t="s">
        <v>341</v>
      </c>
      <c r="AG49" s="10" t="s">
        <v>319</v>
      </c>
      <c r="AH49" s="10" t="s">
        <v>284</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354</v>
      </c>
      <c r="B51" s="9"/>
      <c r="C51" s="9" t="s">
        <v>203</v>
      </c>
      <c r="D51" s="4" t="str">
        <f t="shared" ref="D51" si="13">"abilities/items/"&amp;I51&amp;"/item_jian"</f>
        <v>abilities/items/weapon/item_jian</v>
      </c>
      <c r="E51" s="9"/>
      <c r="F51" s="9"/>
      <c r="G51" s="9"/>
      <c r="H51" s="9" t="s">
        <v>354</v>
      </c>
      <c r="I51" s="9" t="s">
        <v>338</v>
      </c>
      <c r="J51" s="9" t="s">
        <v>274</v>
      </c>
      <c r="K51" s="9" t="s">
        <v>275</v>
      </c>
      <c r="L51" s="9" t="s">
        <v>283</v>
      </c>
      <c r="M51" s="9" t="s">
        <v>0</v>
      </c>
      <c r="N51" s="9" t="s">
        <v>280</v>
      </c>
      <c r="O51" s="9" t="s">
        <v>277</v>
      </c>
      <c r="P51" s="9"/>
      <c r="Q51" s="9"/>
      <c r="R51" s="9"/>
      <c r="S51" s="9"/>
      <c r="T51" s="9"/>
      <c r="U51" s="9"/>
      <c r="V51" s="9"/>
      <c r="W51" s="9"/>
      <c r="X51" s="9"/>
      <c r="Y51" s="9"/>
      <c r="Z51" s="9"/>
      <c r="AA51" s="9"/>
      <c r="AB51" s="9"/>
      <c r="AC51" s="9"/>
      <c r="AD51" s="10" t="s">
        <v>339</v>
      </c>
      <c r="AE51" s="10" t="s">
        <v>340</v>
      </c>
      <c r="AF51" s="10" t="s">
        <v>341</v>
      </c>
      <c r="AG51" s="10" t="s">
        <v>319</v>
      </c>
      <c r="AH51" s="10" t="s">
        <v>284</v>
      </c>
      <c r="AI51" s="10" t="s">
        <v>374</v>
      </c>
      <c r="AJ51" s="10" t="s">
        <v>376</v>
      </c>
      <c r="AK51" s="10" t="s">
        <v>347</v>
      </c>
      <c r="AL51" s="10" t="s">
        <v>346</v>
      </c>
      <c r="AM51" s="10" t="s">
        <v>375</v>
      </c>
      <c r="AN51" s="10" t="s">
        <v>345</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355</v>
      </c>
      <c r="B53" s="9"/>
      <c r="C53" s="9" t="s">
        <v>203</v>
      </c>
      <c r="D53" s="4" t="str">
        <f t="shared" ref="D53" si="14">"abilities/items/"&amp;I53&amp;"/item_jian"</f>
        <v>abilities/items/weapon/item_jian</v>
      </c>
      <c r="E53" s="9"/>
      <c r="F53" s="9"/>
      <c r="G53" s="9"/>
      <c r="H53" s="9" t="s">
        <v>355</v>
      </c>
      <c r="I53" s="9" t="s">
        <v>338</v>
      </c>
      <c r="J53" s="9" t="s">
        <v>274</v>
      </c>
      <c r="K53" s="9" t="s">
        <v>275</v>
      </c>
      <c r="L53" s="9" t="s">
        <v>283</v>
      </c>
      <c r="M53" s="9" t="s">
        <v>0</v>
      </c>
      <c r="N53" s="9" t="s">
        <v>280</v>
      </c>
      <c r="O53" s="9" t="s">
        <v>277</v>
      </c>
      <c r="P53" s="9"/>
      <c r="Q53" s="9"/>
      <c r="R53" s="9"/>
      <c r="S53" s="9"/>
      <c r="T53" s="9"/>
      <c r="U53" s="9"/>
      <c r="V53" s="9"/>
      <c r="W53" s="9"/>
      <c r="X53" s="9"/>
      <c r="Y53" s="9"/>
      <c r="Z53" s="9"/>
      <c r="AA53" s="9"/>
      <c r="AB53" s="9"/>
      <c r="AC53" s="9"/>
      <c r="AD53" s="10" t="s">
        <v>339</v>
      </c>
      <c r="AE53" s="10" t="s">
        <v>340</v>
      </c>
      <c r="AF53" s="10" t="s">
        <v>341</v>
      </c>
      <c r="AG53" s="10" t="s">
        <v>319</v>
      </c>
      <c r="AH53" s="10" t="s">
        <v>284</v>
      </c>
      <c r="AI53" s="10" t="s">
        <v>374</v>
      </c>
      <c r="AJ53" s="10" t="s">
        <v>376</v>
      </c>
      <c r="AK53" s="10" t="s">
        <v>347</v>
      </c>
      <c r="AL53" s="10" t="s">
        <v>346</v>
      </c>
      <c r="AM53" s="10" t="s">
        <v>375</v>
      </c>
      <c r="AN53" s="10" t="s">
        <v>345</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356</v>
      </c>
      <c r="B55" s="9"/>
      <c r="C55" s="9" t="s">
        <v>203</v>
      </c>
      <c r="D55" s="4" t="str">
        <f t="shared" ref="D55" si="15">"abilities/items/"&amp;I55&amp;"/item_jian"</f>
        <v>abilities/items/weapon/item_jian</v>
      </c>
      <c r="E55" s="9"/>
      <c r="F55" s="9"/>
      <c r="G55" s="9"/>
      <c r="H55" s="9" t="s">
        <v>356</v>
      </c>
      <c r="I55" s="9" t="s">
        <v>338</v>
      </c>
      <c r="J55" s="9" t="s">
        <v>274</v>
      </c>
      <c r="K55" s="9" t="s">
        <v>275</v>
      </c>
      <c r="L55" s="9" t="s">
        <v>283</v>
      </c>
      <c r="M55" s="9" t="s">
        <v>0</v>
      </c>
      <c r="N55" s="9" t="s">
        <v>280</v>
      </c>
      <c r="O55" s="9" t="s">
        <v>277</v>
      </c>
      <c r="P55" s="9"/>
      <c r="Q55" s="9"/>
      <c r="R55" s="9"/>
      <c r="S55" s="9"/>
      <c r="T55" s="9"/>
      <c r="U55" s="9"/>
      <c r="V55" s="9"/>
      <c r="W55" s="9"/>
      <c r="X55" s="9"/>
      <c r="Y55" s="9"/>
      <c r="Z55" s="9"/>
      <c r="AA55" s="9"/>
      <c r="AB55" s="9"/>
      <c r="AC55" s="9"/>
      <c r="AD55" s="10" t="s">
        <v>339</v>
      </c>
      <c r="AE55" s="10" t="s">
        <v>340</v>
      </c>
      <c r="AF55" s="10" t="s">
        <v>341</v>
      </c>
      <c r="AG55" s="10" t="s">
        <v>319</v>
      </c>
      <c r="AH55" s="10" t="s">
        <v>284</v>
      </c>
      <c r="AI55" s="10" t="s">
        <v>374</v>
      </c>
      <c r="AJ55" s="10" t="s">
        <v>376</v>
      </c>
      <c r="AK55" s="10" t="s">
        <v>347</v>
      </c>
      <c r="AL55" s="10" t="s">
        <v>346</v>
      </c>
      <c r="AM55" s="10" t="s">
        <v>375</v>
      </c>
      <c r="AN55" s="10" t="s">
        <v>345</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357</v>
      </c>
      <c r="B57" s="9"/>
      <c r="C57" s="9" t="s">
        <v>203</v>
      </c>
      <c r="D57" s="4" t="str">
        <f t="shared" ref="D57" si="16">"abilities/items/"&amp;I57&amp;"/item_jian"</f>
        <v>abilities/items/weapon/item_jian</v>
      </c>
      <c r="E57" s="9"/>
      <c r="F57" s="9"/>
      <c r="G57" s="9"/>
      <c r="H57" s="9" t="s">
        <v>357</v>
      </c>
      <c r="I57" s="9" t="s">
        <v>338</v>
      </c>
      <c r="J57" s="9" t="s">
        <v>274</v>
      </c>
      <c r="K57" s="9" t="s">
        <v>275</v>
      </c>
      <c r="L57" s="9" t="s">
        <v>283</v>
      </c>
      <c r="M57" s="9" t="s">
        <v>0</v>
      </c>
      <c r="N57" s="9" t="s">
        <v>280</v>
      </c>
      <c r="O57" s="9" t="s">
        <v>277</v>
      </c>
      <c r="P57" s="9"/>
      <c r="Q57" s="9"/>
      <c r="R57" s="9"/>
      <c r="S57" s="9"/>
      <c r="T57" s="9"/>
      <c r="U57" s="9"/>
      <c r="V57" s="9"/>
      <c r="W57" s="9"/>
      <c r="X57" s="9"/>
      <c r="Y57" s="9"/>
      <c r="Z57" s="9"/>
      <c r="AA57" s="9"/>
      <c r="AB57" s="9"/>
      <c r="AC57" s="9"/>
      <c r="AD57" s="10" t="s">
        <v>339</v>
      </c>
      <c r="AE57" s="10" t="s">
        <v>340</v>
      </c>
      <c r="AF57" s="10" t="s">
        <v>341</v>
      </c>
      <c r="AG57" s="10" t="s">
        <v>319</v>
      </c>
      <c r="AH57" s="10" t="s">
        <v>284</v>
      </c>
      <c r="AI57" s="10" t="s">
        <v>374</v>
      </c>
      <c r="AJ57" s="10" t="s">
        <v>376</v>
      </c>
      <c r="AK57" s="10" t="s">
        <v>347</v>
      </c>
      <c r="AL57" s="10" t="s">
        <v>346</v>
      </c>
      <c r="AM57" s="10" t="s">
        <v>375</v>
      </c>
      <c r="AN57" s="10" t="s">
        <v>345</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272</v>
      </c>
      <c r="B59" s="9"/>
      <c r="C59" s="9" t="s">
        <v>203</v>
      </c>
      <c r="D59" s="4" t="str">
        <f>"abilities/items/"&amp;I59&amp;"/item_fazhang"</f>
        <v>abilities/items/weapon/item_fazhang</v>
      </c>
      <c r="E59" s="9"/>
      <c r="F59" s="9"/>
      <c r="G59" s="9"/>
      <c r="H59" s="9" t="s">
        <v>272</v>
      </c>
      <c r="I59" s="9" t="s">
        <v>338</v>
      </c>
      <c r="J59" s="9" t="s">
        <v>274</v>
      </c>
      <c r="K59" s="9" t="s">
        <v>275</v>
      </c>
      <c r="L59" s="9" t="s">
        <v>283</v>
      </c>
      <c r="M59" s="9" t="s">
        <v>276</v>
      </c>
      <c r="N59" s="9" t="s">
        <v>280</v>
      </c>
      <c r="O59" s="9" t="s">
        <v>277</v>
      </c>
      <c r="P59" s="9"/>
      <c r="Q59" s="9" t="s">
        <v>353</v>
      </c>
      <c r="R59" s="9"/>
      <c r="S59" s="9"/>
      <c r="T59" s="9">
        <v>1500</v>
      </c>
      <c r="U59" s="9"/>
      <c r="V59" s="9"/>
      <c r="W59" s="9"/>
      <c r="X59" s="9"/>
      <c r="Y59" s="9"/>
      <c r="Z59" s="9"/>
      <c r="AA59" s="9"/>
      <c r="AB59" s="9"/>
      <c r="AC59" s="9">
        <v>30</v>
      </c>
      <c r="AD59" s="10" t="s">
        <v>339</v>
      </c>
      <c r="AE59" s="10" t="s">
        <v>340</v>
      </c>
      <c r="AF59" s="10" t="s">
        <v>342</v>
      </c>
      <c r="AG59" s="10" t="s">
        <v>322</v>
      </c>
      <c r="AH59" s="10" t="s">
        <v>321</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328</v>
      </c>
      <c r="B61" s="9"/>
      <c r="C61" s="9" t="s">
        <v>203</v>
      </c>
      <c r="D61" s="4" t="str">
        <f t="shared" ref="D61" si="17">"abilities/items/"&amp;I61&amp;"/item_fazhang"</f>
        <v>abilities/items/weapon/item_fazhang</v>
      </c>
      <c r="E61" s="9"/>
      <c r="F61" s="9"/>
      <c r="G61" s="9"/>
      <c r="H61" s="9" t="s">
        <v>328</v>
      </c>
      <c r="I61" s="9" t="s">
        <v>338</v>
      </c>
      <c r="J61" s="9" t="s">
        <v>274</v>
      </c>
      <c r="K61" s="9" t="s">
        <v>275</v>
      </c>
      <c r="L61" s="9" t="s">
        <v>283</v>
      </c>
      <c r="M61" s="9" t="s">
        <v>276</v>
      </c>
      <c r="N61" s="9" t="s">
        <v>280</v>
      </c>
      <c r="O61" s="9" t="s">
        <v>277</v>
      </c>
      <c r="P61" s="9"/>
      <c r="Q61" s="9" t="s">
        <v>353</v>
      </c>
      <c r="R61" s="9"/>
      <c r="S61" s="9"/>
      <c r="T61" s="9">
        <v>4500</v>
      </c>
      <c r="U61" s="9"/>
      <c r="V61" s="9"/>
      <c r="W61" s="9"/>
      <c r="X61" s="9"/>
      <c r="Y61" s="9"/>
      <c r="Z61" s="9"/>
      <c r="AA61" s="9"/>
      <c r="AB61" s="9"/>
      <c r="AC61" s="9">
        <v>30</v>
      </c>
      <c r="AD61" s="10" t="s">
        <v>339</v>
      </c>
      <c r="AE61" s="10" t="s">
        <v>340</v>
      </c>
      <c r="AF61" s="10" t="s">
        <v>342</v>
      </c>
      <c r="AG61" s="10" t="s">
        <v>322</v>
      </c>
      <c r="AH61" s="10" t="s">
        <v>321</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329</v>
      </c>
      <c r="B63" s="9"/>
      <c r="C63" s="9" t="s">
        <v>203</v>
      </c>
      <c r="D63" s="4" t="str">
        <f t="shared" ref="D63" si="18">"abilities/items/"&amp;I63&amp;"/item_fazhang"</f>
        <v>abilities/items/weapon/item_fazhang</v>
      </c>
      <c r="E63" s="9"/>
      <c r="F63" s="9"/>
      <c r="G63" s="9"/>
      <c r="H63" s="9" t="s">
        <v>329</v>
      </c>
      <c r="I63" s="9" t="s">
        <v>338</v>
      </c>
      <c r="J63" s="9" t="s">
        <v>274</v>
      </c>
      <c r="K63" s="9" t="s">
        <v>275</v>
      </c>
      <c r="L63" s="9" t="s">
        <v>283</v>
      </c>
      <c r="M63" s="9" t="s">
        <v>276</v>
      </c>
      <c r="N63" s="9" t="s">
        <v>280</v>
      </c>
      <c r="O63" s="9" t="s">
        <v>277</v>
      </c>
      <c r="P63" s="9"/>
      <c r="Q63" s="9" t="s">
        <v>353</v>
      </c>
      <c r="R63" s="9"/>
      <c r="S63" s="9"/>
      <c r="T63" s="9">
        <v>10500</v>
      </c>
      <c r="U63" s="9"/>
      <c r="V63" s="9"/>
      <c r="W63" s="9"/>
      <c r="X63" s="9"/>
      <c r="Y63" s="9"/>
      <c r="Z63" s="9"/>
      <c r="AA63" s="9"/>
      <c r="AB63" s="9"/>
      <c r="AC63" s="9">
        <v>30</v>
      </c>
      <c r="AD63" s="10" t="s">
        <v>339</v>
      </c>
      <c r="AE63" s="10" t="s">
        <v>340</v>
      </c>
      <c r="AF63" s="10" t="s">
        <v>342</v>
      </c>
      <c r="AG63" s="10" t="s">
        <v>322</v>
      </c>
      <c r="AH63" s="10" t="s">
        <v>321</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330</v>
      </c>
      <c r="B65" s="9"/>
      <c r="C65" s="9" t="s">
        <v>203</v>
      </c>
      <c r="D65" s="4" t="str">
        <f t="shared" ref="D65" si="19">"abilities/items/"&amp;I65&amp;"/item_fazhang"</f>
        <v>abilities/items/weapon/item_fazhang</v>
      </c>
      <c r="E65" s="9"/>
      <c r="F65" s="9"/>
      <c r="G65" s="9"/>
      <c r="H65" s="9" t="s">
        <v>330</v>
      </c>
      <c r="I65" s="9" t="s">
        <v>338</v>
      </c>
      <c r="J65" s="9" t="s">
        <v>274</v>
      </c>
      <c r="K65" s="9" t="s">
        <v>275</v>
      </c>
      <c r="L65" s="9" t="s">
        <v>283</v>
      </c>
      <c r="M65" s="9" t="s">
        <v>276</v>
      </c>
      <c r="N65" s="9" t="s">
        <v>280</v>
      </c>
      <c r="O65" s="9" t="s">
        <v>277</v>
      </c>
      <c r="P65" s="9"/>
      <c r="Q65" s="9" t="s">
        <v>353</v>
      </c>
      <c r="R65" s="9"/>
      <c r="S65" s="9"/>
      <c r="T65" s="9">
        <v>22500</v>
      </c>
      <c r="U65" s="9"/>
      <c r="V65" s="9"/>
      <c r="W65" s="9"/>
      <c r="X65" s="9"/>
      <c r="Y65" s="9"/>
      <c r="Z65" s="9"/>
      <c r="AA65" s="9"/>
      <c r="AB65" s="9"/>
      <c r="AC65" s="9">
        <v>30</v>
      </c>
      <c r="AD65" s="10" t="s">
        <v>339</v>
      </c>
      <c r="AE65" s="10" t="s">
        <v>340</v>
      </c>
      <c r="AF65" s="10" t="s">
        <v>342</v>
      </c>
      <c r="AG65" s="10" t="s">
        <v>322</v>
      </c>
      <c r="AH65" s="10" t="s">
        <v>321</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331</v>
      </c>
      <c r="B67" s="9"/>
      <c r="C67" s="9" t="s">
        <v>203</v>
      </c>
      <c r="D67" s="4" t="str">
        <f t="shared" ref="D67" si="20">"abilities/items/"&amp;I67&amp;"/item_fazhang"</f>
        <v>abilities/items/weapon/item_fazhang</v>
      </c>
      <c r="E67" s="9"/>
      <c r="F67" s="9"/>
      <c r="G67" s="9"/>
      <c r="H67" s="9" t="s">
        <v>331</v>
      </c>
      <c r="I67" s="9" t="s">
        <v>338</v>
      </c>
      <c r="J67" s="9" t="s">
        <v>274</v>
      </c>
      <c r="K67" s="9" t="s">
        <v>275</v>
      </c>
      <c r="L67" s="9" t="s">
        <v>283</v>
      </c>
      <c r="M67" s="9" t="s">
        <v>276</v>
      </c>
      <c r="N67" s="9" t="s">
        <v>280</v>
      </c>
      <c r="O67" s="9" t="s">
        <v>277</v>
      </c>
      <c r="P67" s="9"/>
      <c r="Q67" s="9" t="s">
        <v>353</v>
      </c>
      <c r="R67" s="9"/>
      <c r="S67" s="9"/>
      <c r="T67" s="9">
        <v>46500</v>
      </c>
      <c r="U67" s="9"/>
      <c r="V67" s="9"/>
      <c r="W67" s="9"/>
      <c r="X67" s="9"/>
      <c r="Y67" s="9"/>
      <c r="Z67" s="9"/>
      <c r="AA67" s="9"/>
      <c r="AB67" s="9"/>
      <c r="AC67" s="9">
        <v>30</v>
      </c>
      <c r="AD67" s="10" t="s">
        <v>339</v>
      </c>
      <c r="AE67" s="10" t="s">
        <v>340</v>
      </c>
      <c r="AF67" s="10" t="s">
        <v>342</v>
      </c>
      <c r="AG67" s="10" t="s">
        <v>322</v>
      </c>
      <c r="AH67" s="10" t="s">
        <v>321</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358</v>
      </c>
      <c r="B69" s="9"/>
      <c r="C69" s="9" t="s">
        <v>203</v>
      </c>
      <c r="D69" s="4" t="str">
        <f>"abilities/items/"&amp;I69&amp;"/item_fazhang"</f>
        <v>abilities/items/weapon/item_fazhang</v>
      </c>
      <c r="E69" s="9"/>
      <c r="F69" s="9"/>
      <c r="G69" s="9"/>
      <c r="H69" s="9" t="s">
        <v>358</v>
      </c>
      <c r="I69" s="9" t="s">
        <v>338</v>
      </c>
      <c r="J69" s="9" t="s">
        <v>274</v>
      </c>
      <c r="K69" s="9" t="s">
        <v>275</v>
      </c>
      <c r="L69" s="9" t="s">
        <v>283</v>
      </c>
      <c r="M69" s="9" t="s">
        <v>276</v>
      </c>
      <c r="N69" s="9" t="s">
        <v>280</v>
      </c>
      <c r="O69" s="9" t="s">
        <v>277</v>
      </c>
      <c r="P69" s="9"/>
      <c r="Q69" s="9" t="s">
        <v>353</v>
      </c>
      <c r="R69" s="9"/>
      <c r="S69" s="9"/>
      <c r="T69" s="9"/>
      <c r="U69" s="9"/>
      <c r="V69" s="9"/>
      <c r="W69" s="9"/>
      <c r="X69" s="9"/>
      <c r="Y69" s="9"/>
      <c r="Z69" s="9"/>
      <c r="AA69" s="9"/>
      <c r="AB69" s="9"/>
      <c r="AC69" s="9">
        <v>30</v>
      </c>
      <c r="AD69" s="10" t="s">
        <v>339</v>
      </c>
      <c r="AE69" s="10" t="s">
        <v>340</v>
      </c>
      <c r="AF69" s="10" t="s">
        <v>342</v>
      </c>
      <c r="AG69" s="10" t="s">
        <v>322</v>
      </c>
      <c r="AH69" s="10" t="s">
        <v>321</v>
      </c>
      <c r="AI69" s="10" t="s">
        <v>374</v>
      </c>
      <c r="AJ69" s="10" t="s">
        <v>376</v>
      </c>
      <c r="AK69" s="10" t="s">
        <v>347</v>
      </c>
      <c r="AL69" s="10" t="s">
        <v>346</v>
      </c>
      <c r="AM69" s="10" t="s">
        <v>375</v>
      </c>
      <c r="AN69" s="10" t="s">
        <v>345</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359</v>
      </c>
      <c r="B71" s="9"/>
      <c r="C71" s="9" t="s">
        <v>203</v>
      </c>
      <c r="D71" s="4" t="str">
        <f t="shared" ref="D71" si="21">"abilities/items/"&amp;I71&amp;"/item_fazhang"</f>
        <v>abilities/items/weapon/item_fazhang</v>
      </c>
      <c r="E71" s="9"/>
      <c r="F71" s="9"/>
      <c r="G71" s="9"/>
      <c r="H71" s="9" t="s">
        <v>359</v>
      </c>
      <c r="I71" s="9" t="s">
        <v>338</v>
      </c>
      <c r="J71" s="9" t="s">
        <v>274</v>
      </c>
      <c r="K71" s="9" t="s">
        <v>275</v>
      </c>
      <c r="L71" s="9" t="s">
        <v>283</v>
      </c>
      <c r="M71" s="9" t="s">
        <v>276</v>
      </c>
      <c r="N71" s="9" t="s">
        <v>280</v>
      </c>
      <c r="O71" s="9" t="s">
        <v>277</v>
      </c>
      <c r="P71" s="9"/>
      <c r="Q71" s="9" t="s">
        <v>353</v>
      </c>
      <c r="R71" s="9"/>
      <c r="S71" s="9"/>
      <c r="T71" s="9"/>
      <c r="U71" s="9"/>
      <c r="V71" s="9"/>
      <c r="W71" s="9"/>
      <c r="X71" s="9"/>
      <c r="Y71" s="9"/>
      <c r="Z71" s="9"/>
      <c r="AA71" s="9"/>
      <c r="AB71" s="9"/>
      <c r="AC71" s="9">
        <v>30</v>
      </c>
      <c r="AD71" s="10" t="s">
        <v>339</v>
      </c>
      <c r="AE71" s="10" t="s">
        <v>340</v>
      </c>
      <c r="AF71" s="10" t="s">
        <v>342</v>
      </c>
      <c r="AG71" s="10" t="s">
        <v>322</v>
      </c>
      <c r="AH71" s="10" t="s">
        <v>321</v>
      </c>
      <c r="AI71" s="10" t="s">
        <v>374</v>
      </c>
      <c r="AJ71" s="10" t="s">
        <v>376</v>
      </c>
      <c r="AK71" s="10" t="s">
        <v>347</v>
      </c>
      <c r="AL71" s="10" t="s">
        <v>346</v>
      </c>
      <c r="AM71" s="10" t="s">
        <v>375</v>
      </c>
      <c r="AN71" s="10" t="s">
        <v>345</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360</v>
      </c>
      <c r="B73" s="9"/>
      <c r="C73" s="9" t="s">
        <v>203</v>
      </c>
      <c r="D73" s="4" t="str">
        <f t="shared" ref="D73" si="22">"abilities/items/"&amp;I73&amp;"/item_fazhang"</f>
        <v>abilities/items/weapon/item_fazhang</v>
      </c>
      <c r="E73" s="9"/>
      <c r="F73" s="9"/>
      <c r="G73" s="9"/>
      <c r="H73" s="9" t="s">
        <v>360</v>
      </c>
      <c r="I73" s="9" t="s">
        <v>338</v>
      </c>
      <c r="J73" s="9" t="s">
        <v>274</v>
      </c>
      <c r="K73" s="9" t="s">
        <v>275</v>
      </c>
      <c r="L73" s="9" t="s">
        <v>283</v>
      </c>
      <c r="M73" s="9" t="s">
        <v>276</v>
      </c>
      <c r="N73" s="9" t="s">
        <v>280</v>
      </c>
      <c r="O73" s="9" t="s">
        <v>277</v>
      </c>
      <c r="P73" s="9"/>
      <c r="Q73" s="9" t="s">
        <v>353</v>
      </c>
      <c r="R73" s="9"/>
      <c r="S73" s="9"/>
      <c r="T73" s="9"/>
      <c r="U73" s="9"/>
      <c r="V73" s="9"/>
      <c r="W73" s="9"/>
      <c r="X73" s="9"/>
      <c r="Y73" s="9"/>
      <c r="Z73" s="9"/>
      <c r="AA73" s="9"/>
      <c r="AB73" s="9"/>
      <c r="AC73" s="9">
        <v>30</v>
      </c>
      <c r="AD73" s="10" t="s">
        <v>339</v>
      </c>
      <c r="AE73" s="10" t="s">
        <v>340</v>
      </c>
      <c r="AF73" s="10" t="s">
        <v>342</v>
      </c>
      <c r="AG73" s="10" t="s">
        <v>322</v>
      </c>
      <c r="AH73" s="10" t="s">
        <v>321</v>
      </c>
      <c r="AI73" s="10" t="s">
        <v>374</v>
      </c>
      <c r="AJ73" s="10" t="s">
        <v>376</v>
      </c>
      <c r="AK73" s="10" t="s">
        <v>347</v>
      </c>
      <c r="AL73" s="10" t="s">
        <v>346</v>
      </c>
      <c r="AM73" s="10" t="s">
        <v>375</v>
      </c>
      <c r="AN73" s="10" t="s">
        <v>345</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361</v>
      </c>
      <c r="B75" s="9"/>
      <c r="C75" s="9" t="s">
        <v>203</v>
      </c>
      <c r="D75" s="4" t="str">
        <f t="shared" ref="D75" si="23">"abilities/items/"&amp;I75&amp;"/item_fazhang"</f>
        <v>abilities/items/weapon/item_fazhang</v>
      </c>
      <c r="E75" s="9"/>
      <c r="F75" s="9"/>
      <c r="G75" s="9"/>
      <c r="H75" s="9" t="s">
        <v>361</v>
      </c>
      <c r="I75" s="9" t="s">
        <v>338</v>
      </c>
      <c r="J75" s="9" t="s">
        <v>274</v>
      </c>
      <c r="K75" s="9" t="s">
        <v>275</v>
      </c>
      <c r="L75" s="9" t="s">
        <v>283</v>
      </c>
      <c r="M75" s="9" t="s">
        <v>276</v>
      </c>
      <c r="N75" s="9" t="s">
        <v>280</v>
      </c>
      <c r="O75" s="9" t="s">
        <v>277</v>
      </c>
      <c r="P75" s="9"/>
      <c r="Q75" s="9" t="s">
        <v>353</v>
      </c>
      <c r="R75" s="9"/>
      <c r="S75" s="9"/>
      <c r="T75" s="9"/>
      <c r="U75" s="9"/>
      <c r="V75" s="9"/>
      <c r="W75" s="9"/>
      <c r="X75" s="9"/>
      <c r="Y75" s="9"/>
      <c r="Z75" s="9"/>
      <c r="AA75" s="9"/>
      <c r="AB75" s="9"/>
      <c r="AC75" s="9">
        <v>30</v>
      </c>
      <c r="AD75" s="10" t="s">
        <v>339</v>
      </c>
      <c r="AE75" s="10" t="s">
        <v>340</v>
      </c>
      <c r="AF75" s="10" t="s">
        <v>342</v>
      </c>
      <c r="AG75" s="10" t="s">
        <v>322</v>
      </c>
      <c r="AH75" s="10" t="s">
        <v>321</v>
      </c>
      <c r="AI75" s="10" t="s">
        <v>374</v>
      </c>
      <c r="AJ75" s="10" t="s">
        <v>376</v>
      </c>
      <c r="AK75" s="10" t="s">
        <v>347</v>
      </c>
      <c r="AL75" s="10" t="s">
        <v>346</v>
      </c>
      <c r="AM75" s="10" t="s">
        <v>375</v>
      </c>
      <c r="AN75" s="10" t="s">
        <v>345</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273</v>
      </c>
      <c r="B77" s="9"/>
      <c r="C77" s="9" t="s">
        <v>203</v>
      </c>
      <c r="D77" s="4" t="str">
        <f>"abilities/items/"&amp;I77&amp;"/item_gong"</f>
        <v>abilities/items/weapon/item_gong</v>
      </c>
      <c r="E77" s="9"/>
      <c r="F77" s="9"/>
      <c r="G77" s="9"/>
      <c r="H77" s="9" t="s">
        <v>273</v>
      </c>
      <c r="I77" s="9" t="s">
        <v>338</v>
      </c>
      <c r="J77" s="9" t="s">
        <v>274</v>
      </c>
      <c r="K77" s="9" t="s">
        <v>275</v>
      </c>
      <c r="L77" s="9" t="s">
        <v>283</v>
      </c>
      <c r="M77" s="9" t="s">
        <v>0</v>
      </c>
      <c r="N77" s="9" t="s">
        <v>280</v>
      </c>
      <c r="O77" s="9" t="s">
        <v>277</v>
      </c>
      <c r="P77" s="9"/>
      <c r="Q77" s="9" t="s">
        <v>353</v>
      </c>
      <c r="R77" s="9"/>
      <c r="S77" s="9"/>
      <c r="T77" s="9">
        <v>1500</v>
      </c>
      <c r="U77" s="9"/>
      <c r="V77" s="9"/>
      <c r="W77" s="9"/>
      <c r="X77" s="9"/>
      <c r="Y77" s="9"/>
      <c r="Z77" s="9"/>
      <c r="AA77" s="9"/>
      <c r="AB77" s="9"/>
      <c r="AC77" s="9"/>
      <c r="AD77" s="10" t="s">
        <v>339</v>
      </c>
      <c r="AE77" s="10" t="s">
        <v>340</v>
      </c>
      <c r="AF77" s="10" t="s">
        <v>341</v>
      </c>
      <c r="AG77" s="10" t="s">
        <v>320</v>
      </c>
      <c r="AH77" s="10" t="s">
        <v>323</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10</v>
      </c>
      <c r="AG78" s="10">
        <v>2</v>
      </c>
      <c r="AH78" s="10">
        <v>50</v>
      </c>
      <c r="AI78" s="10"/>
      <c r="AJ78" s="10"/>
      <c r="AK78" s="10"/>
      <c r="AL78" s="10"/>
      <c r="AM78" s="10"/>
      <c r="AN78" s="10"/>
    </row>
    <row r="79" spans="1:40" customFormat="1" x14ac:dyDescent="0.2">
      <c r="A79" s="9" t="s">
        <v>332</v>
      </c>
      <c r="B79" s="9"/>
      <c r="C79" s="9" t="s">
        <v>203</v>
      </c>
      <c r="D79" s="4" t="str">
        <f t="shared" ref="D79" si="24">"abilities/items/"&amp;I79&amp;"/item_gong"</f>
        <v>abilities/items/weapon/item_gong</v>
      </c>
      <c r="E79" s="9"/>
      <c r="F79" s="9"/>
      <c r="G79" s="9"/>
      <c r="H79" s="9" t="s">
        <v>332</v>
      </c>
      <c r="I79" s="9" t="s">
        <v>338</v>
      </c>
      <c r="J79" s="9" t="s">
        <v>274</v>
      </c>
      <c r="K79" s="9" t="s">
        <v>275</v>
      </c>
      <c r="L79" s="9" t="s">
        <v>283</v>
      </c>
      <c r="M79" s="9" t="s">
        <v>0</v>
      </c>
      <c r="N79" s="9" t="s">
        <v>280</v>
      </c>
      <c r="O79" s="9" t="s">
        <v>277</v>
      </c>
      <c r="P79" s="9"/>
      <c r="Q79" s="9" t="s">
        <v>353</v>
      </c>
      <c r="R79" s="9"/>
      <c r="S79" s="9"/>
      <c r="T79" s="9">
        <v>4500</v>
      </c>
      <c r="U79" s="9"/>
      <c r="V79" s="9"/>
      <c r="W79" s="9"/>
      <c r="X79" s="9"/>
      <c r="Y79" s="9"/>
      <c r="Z79" s="9"/>
      <c r="AA79" s="9"/>
      <c r="AB79" s="9"/>
      <c r="AC79" s="9"/>
      <c r="AD79" s="10" t="s">
        <v>339</v>
      </c>
      <c r="AE79" s="10" t="s">
        <v>340</v>
      </c>
      <c r="AF79" s="10" t="s">
        <v>341</v>
      </c>
      <c r="AG79" s="10" t="s">
        <v>320</v>
      </c>
      <c r="AH79" s="10" t="s">
        <v>323</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333</v>
      </c>
      <c r="B81" s="9"/>
      <c r="C81" s="9" t="s">
        <v>203</v>
      </c>
      <c r="D81" s="4" t="str">
        <f t="shared" ref="D81" si="25">"abilities/items/"&amp;I81&amp;"/item_gong"</f>
        <v>abilities/items/weapon/item_gong</v>
      </c>
      <c r="E81" s="9"/>
      <c r="F81" s="9"/>
      <c r="G81" s="9"/>
      <c r="H81" s="9" t="s">
        <v>333</v>
      </c>
      <c r="I81" s="9" t="s">
        <v>338</v>
      </c>
      <c r="J81" s="9" t="s">
        <v>274</v>
      </c>
      <c r="K81" s="9" t="s">
        <v>275</v>
      </c>
      <c r="L81" s="9" t="s">
        <v>283</v>
      </c>
      <c r="M81" s="9" t="s">
        <v>0</v>
      </c>
      <c r="N81" s="9" t="s">
        <v>280</v>
      </c>
      <c r="O81" s="9" t="s">
        <v>277</v>
      </c>
      <c r="P81" s="9"/>
      <c r="Q81" s="9" t="s">
        <v>353</v>
      </c>
      <c r="R81" s="9"/>
      <c r="S81" s="9"/>
      <c r="T81" s="9">
        <v>10500</v>
      </c>
      <c r="U81" s="9"/>
      <c r="V81" s="9"/>
      <c r="W81" s="9"/>
      <c r="X81" s="9"/>
      <c r="Y81" s="9"/>
      <c r="Z81" s="9"/>
      <c r="AA81" s="9"/>
      <c r="AB81" s="9"/>
      <c r="AC81" s="9"/>
      <c r="AD81" s="10" t="s">
        <v>339</v>
      </c>
      <c r="AE81" s="10" t="s">
        <v>340</v>
      </c>
      <c r="AF81" s="10" t="s">
        <v>341</v>
      </c>
      <c r="AG81" s="10" t="s">
        <v>320</v>
      </c>
      <c r="AH81" s="10" t="s">
        <v>323</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334</v>
      </c>
      <c r="B83" s="9"/>
      <c r="C83" s="9" t="s">
        <v>203</v>
      </c>
      <c r="D83" s="4" t="str">
        <f t="shared" ref="D83" si="26">"abilities/items/"&amp;I83&amp;"/item_gong"</f>
        <v>abilities/items/weapon/item_gong</v>
      </c>
      <c r="E83" s="9"/>
      <c r="F83" s="9"/>
      <c r="G83" s="9"/>
      <c r="H83" s="9" t="s">
        <v>334</v>
      </c>
      <c r="I83" s="9" t="s">
        <v>338</v>
      </c>
      <c r="J83" s="9" t="s">
        <v>274</v>
      </c>
      <c r="K83" s="9" t="s">
        <v>275</v>
      </c>
      <c r="L83" s="9" t="s">
        <v>283</v>
      </c>
      <c r="M83" s="9" t="s">
        <v>0</v>
      </c>
      <c r="N83" s="9" t="s">
        <v>280</v>
      </c>
      <c r="O83" s="9" t="s">
        <v>277</v>
      </c>
      <c r="P83" s="9"/>
      <c r="Q83" s="9" t="s">
        <v>353</v>
      </c>
      <c r="R83" s="9"/>
      <c r="S83" s="9"/>
      <c r="T83" s="9">
        <v>22500</v>
      </c>
      <c r="U83" s="9"/>
      <c r="V83" s="9"/>
      <c r="W83" s="9"/>
      <c r="X83" s="9"/>
      <c r="Y83" s="9"/>
      <c r="Z83" s="9"/>
      <c r="AA83" s="9"/>
      <c r="AB83" s="9"/>
      <c r="AC83" s="9"/>
      <c r="AD83" s="10" t="s">
        <v>339</v>
      </c>
      <c r="AE83" s="10" t="s">
        <v>340</v>
      </c>
      <c r="AF83" s="10" t="s">
        <v>341</v>
      </c>
      <c r="AG83" s="10" t="s">
        <v>320</v>
      </c>
      <c r="AH83" s="10" t="s">
        <v>323</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335</v>
      </c>
      <c r="B85" s="9"/>
      <c r="C85" s="9" t="s">
        <v>203</v>
      </c>
      <c r="D85" s="4" t="str">
        <f t="shared" ref="D85" si="27">"abilities/items/"&amp;I85&amp;"/item_gong"</f>
        <v>abilities/items/weapon/item_gong</v>
      </c>
      <c r="E85" s="9"/>
      <c r="F85" s="9"/>
      <c r="G85" s="9"/>
      <c r="H85" s="9" t="s">
        <v>335</v>
      </c>
      <c r="I85" s="9" t="s">
        <v>338</v>
      </c>
      <c r="J85" s="9" t="s">
        <v>274</v>
      </c>
      <c r="K85" s="9" t="s">
        <v>275</v>
      </c>
      <c r="L85" s="9" t="s">
        <v>283</v>
      </c>
      <c r="M85" s="9" t="s">
        <v>0</v>
      </c>
      <c r="N85" s="9" t="s">
        <v>280</v>
      </c>
      <c r="O85" s="9" t="s">
        <v>277</v>
      </c>
      <c r="P85" s="9"/>
      <c r="Q85" s="9" t="s">
        <v>353</v>
      </c>
      <c r="R85" s="9"/>
      <c r="S85" s="9"/>
      <c r="T85" s="9">
        <v>46500</v>
      </c>
      <c r="U85" s="9"/>
      <c r="V85" s="9"/>
      <c r="W85" s="9"/>
      <c r="X85" s="9"/>
      <c r="Y85" s="9"/>
      <c r="Z85" s="9"/>
      <c r="AA85" s="9"/>
      <c r="AB85" s="9"/>
      <c r="AC85" s="9"/>
      <c r="AD85" s="10" t="s">
        <v>339</v>
      </c>
      <c r="AE85" s="10" t="s">
        <v>340</v>
      </c>
      <c r="AF85" s="10" t="s">
        <v>341</v>
      </c>
      <c r="AG85" s="10" t="s">
        <v>320</v>
      </c>
      <c r="AH85" s="10" t="s">
        <v>323</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362</v>
      </c>
      <c r="B87" s="9"/>
      <c r="C87" s="9" t="s">
        <v>203</v>
      </c>
      <c r="D87" s="4" t="str">
        <f>"abilities/items/"&amp;I87&amp;"/item_gong"</f>
        <v>abilities/items/weapon/item_gong</v>
      </c>
      <c r="E87" s="9"/>
      <c r="F87" s="9"/>
      <c r="G87" s="9"/>
      <c r="H87" s="9" t="s">
        <v>362</v>
      </c>
      <c r="I87" s="9" t="s">
        <v>338</v>
      </c>
      <c r="J87" s="9" t="s">
        <v>274</v>
      </c>
      <c r="K87" s="9" t="s">
        <v>275</v>
      </c>
      <c r="L87" s="9" t="s">
        <v>283</v>
      </c>
      <c r="M87" s="9" t="s">
        <v>0</v>
      </c>
      <c r="N87" s="9" t="s">
        <v>280</v>
      </c>
      <c r="O87" s="9" t="s">
        <v>277</v>
      </c>
      <c r="P87" s="9"/>
      <c r="Q87" s="9" t="s">
        <v>353</v>
      </c>
      <c r="R87" s="9"/>
      <c r="S87" s="9"/>
      <c r="T87" s="9"/>
      <c r="U87" s="9"/>
      <c r="V87" s="9"/>
      <c r="W87" s="9"/>
      <c r="X87" s="9"/>
      <c r="Y87" s="9"/>
      <c r="Z87" s="9"/>
      <c r="AA87" s="9"/>
      <c r="AB87" s="9"/>
      <c r="AC87" s="9"/>
      <c r="AD87" s="10" t="s">
        <v>339</v>
      </c>
      <c r="AE87" s="10" t="s">
        <v>340</v>
      </c>
      <c r="AF87" s="10" t="s">
        <v>341</v>
      </c>
      <c r="AG87" s="10" t="s">
        <v>320</v>
      </c>
      <c r="AH87" s="10" t="s">
        <v>323</v>
      </c>
      <c r="AI87" s="10" t="s">
        <v>374</v>
      </c>
      <c r="AJ87" s="10" t="s">
        <v>376</v>
      </c>
      <c r="AK87" s="10" t="s">
        <v>347</v>
      </c>
      <c r="AL87" s="10" t="s">
        <v>346</v>
      </c>
      <c r="AM87" s="10" t="s">
        <v>375</v>
      </c>
      <c r="AN87" s="10" t="s">
        <v>345</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363</v>
      </c>
      <c r="B89" s="9"/>
      <c r="C89" s="9" t="s">
        <v>203</v>
      </c>
      <c r="D89" s="4" t="str">
        <f t="shared" ref="D89" si="28">"abilities/items/"&amp;I89&amp;"/item_gong"</f>
        <v>abilities/items/weapon/item_gong</v>
      </c>
      <c r="E89" s="9"/>
      <c r="F89" s="9"/>
      <c r="G89" s="9"/>
      <c r="H89" s="9" t="s">
        <v>363</v>
      </c>
      <c r="I89" s="9" t="s">
        <v>338</v>
      </c>
      <c r="J89" s="9" t="s">
        <v>274</v>
      </c>
      <c r="K89" s="9" t="s">
        <v>275</v>
      </c>
      <c r="L89" s="9" t="s">
        <v>283</v>
      </c>
      <c r="M89" s="9" t="s">
        <v>0</v>
      </c>
      <c r="N89" s="9" t="s">
        <v>280</v>
      </c>
      <c r="O89" s="9" t="s">
        <v>277</v>
      </c>
      <c r="P89" s="9"/>
      <c r="Q89" s="9" t="s">
        <v>353</v>
      </c>
      <c r="R89" s="9"/>
      <c r="S89" s="9"/>
      <c r="T89" s="9"/>
      <c r="U89" s="9"/>
      <c r="V89" s="9"/>
      <c r="W89" s="9"/>
      <c r="X89" s="9"/>
      <c r="Y89" s="9"/>
      <c r="Z89" s="9"/>
      <c r="AA89" s="9"/>
      <c r="AB89" s="9"/>
      <c r="AC89" s="9"/>
      <c r="AD89" s="10" t="s">
        <v>339</v>
      </c>
      <c r="AE89" s="10" t="s">
        <v>340</v>
      </c>
      <c r="AF89" s="10" t="s">
        <v>341</v>
      </c>
      <c r="AG89" s="10" t="s">
        <v>320</v>
      </c>
      <c r="AH89" s="10" t="s">
        <v>323</v>
      </c>
      <c r="AI89" s="10" t="s">
        <v>374</v>
      </c>
      <c r="AJ89" s="10" t="s">
        <v>376</v>
      </c>
      <c r="AK89" s="10" t="s">
        <v>347</v>
      </c>
      <c r="AL89" s="10" t="s">
        <v>346</v>
      </c>
      <c r="AM89" s="10" t="s">
        <v>375</v>
      </c>
      <c r="AN89" s="10" t="s">
        <v>345</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364</v>
      </c>
      <c r="B91" s="9"/>
      <c r="C91" s="9" t="s">
        <v>203</v>
      </c>
      <c r="D91" s="4" t="str">
        <f t="shared" ref="D91" si="29">"abilities/items/"&amp;I91&amp;"/item_gong"</f>
        <v>abilities/items/weapon/item_gong</v>
      </c>
      <c r="E91" s="9"/>
      <c r="F91" s="9"/>
      <c r="G91" s="9"/>
      <c r="H91" s="9" t="s">
        <v>364</v>
      </c>
      <c r="I91" s="9" t="s">
        <v>338</v>
      </c>
      <c r="J91" s="9" t="s">
        <v>274</v>
      </c>
      <c r="K91" s="9" t="s">
        <v>275</v>
      </c>
      <c r="L91" s="9" t="s">
        <v>283</v>
      </c>
      <c r="M91" s="9" t="s">
        <v>0</v>
      </c>
      <c r="N91" s="9" t="s">
        <v>280</v>
      </c>
      <c r="O91" s="9" t="s">
        <v>277</v>
      </c>
      <c r="P91" s="9"/>
      <c r="Q91" s="9" t="s">
        <v>353</v>
      </c>
      <c r="R91" s="9"/>
      <c r="S91" s="9"/>
      <c r="T91" s="9"/>
      <c r="U91" s="9"/>
      <c r="V91" s="9"/>
      <c r="W91" s="9"/>
      <c r="X91" s="9"/>
      <c r="Y91" s="9"/>
      <c r="Z91" s="9"/>
      <c r="AA91" s="9"/>
      <c r="AB91" s="9"/>
      <c r="AC91" s="9"/>
      <c r="AD91" s="10" t="s">
        <v>339</v>
      </c>
      <c r="AE91" s="10" t="s">
        <v>340</v>
      </c>
      <c r="AF91" s="10" t="s">
        <v>341</v>
      </c>
      <c r="AG91" s="10" t="s">
        <v>320</v>
      </c>
      <c r="AH91" s="10" t="s">
        <v>323</v>
      </c>
      <c r="AI91" s="10" t="s">
        <v>374</v>
      </c>
      <c r="AJ91" s="10" t="s">
        <v>376</v>
      </c>
      <c r="AK91" s="10" t="s">
        <v>347</v>
      </c>
      <c r="AL91" s="10" t="s">
        <v>346</v>
      </c>
      <c r="AM91" s="10" t="s">
        <v>375</v>
      </c>
      <c r="AN91" s="10" t="s">
        <v>345</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365</v>
      </c>
      <c r="B93" s="9"/>
      <c r="C93" s="9" t="s">
        <v>203</v>
      </c>
      <c r="D93" s="4" t="str">
        <f t="shared" ref="D93" si="30">"abilities/items/"&amp;I93&amp;"/item_gong"</f>
        <v>abilities/items/weapon/item_gong</v>
      </c>
      <c r="E93" s="9"/>
      <c r="F93" s="9"/>
      <c r="G93" s="9"/>
      <c r="H93" s="9" t="s">
        <v>365</v>
      </c>
      <c r="I93" s="9" t="s">
        <v>338</v>
      </c>
      <c r="J93" s="9" t="s">
        <v>274</v>
      </c>
      <c r="K93" s="9" t="s">
        <v>275</v>
      </c>
      <c r="L93" s="9" t="s">
        <v>283</v>
      </c>
      <c r="M93" s="9" t="s">
        <v>0</v>
      </c>
      <c r="N93" s="9" t="s">
        <v>280</v>
      </c>
      <c r="O93" s="9" t="s">
        <v>277</v>
      </c>
      <c r="P93" s="9"/>
      <c r="Q93" s="9" t="s">
        <v>353</v>
      </c>
      <c r="R93" s="9"/>
      <c r="S93" s="9"/>
      <c r="T93" s="9"/>
      <c r="U93" s="9"/>
      <c r="V93" s="9"/>
      <c r="W93" s="9"/>
      <c r="X93" s="9"/>
      <c r="Y93" s="9"/>
      <c r="Z93" s="9"/>
      <c r="AA93" s="9"/>
      <c r="AB93" s="9"/>
      <c r="AC93" s="9"/>
      <c r="AD93" s="10" t="s">
        <v>339</v>
      </c>
      <c r="AE93" s="10" t="s">
        <v>340</v>
      </c>
      <c r="AF93" s="10" t="s">
        <v>341</v>
      </c>
      <c r="AG93" s="10" t="s">
        <v>320</v>
      </c>
      <c r="AH93" s="10" t="s">
        <v>323</v>
      </c>
      <c r="AI93" s="10" t="s">
        <v>374</v>
      </c>
      <c r="AJ93" s="10" t="s">
        <v>376</v>
      </c>
      <c r="AK93" s="10" t="s">
        <v>347</v>
      </c>
      <c r="AL93" s="10" t="s">
        <v>346</v>
      </c>
      <c r="AM93" s="10" t="s">
        <v>375</v>
      </c>
      <c r="AN93" s="10" t="s">
        <v>345</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343</v>
      </c>
      <c r="B95" s="9"/>
      <c r="C95" s="9" t="s">
        <v>203</v>
      </c>
      <c r="D95" s="4" t="str">
        <f>"abilities/items/"&amp;I95&amp;"/item_jia"</f>
        <v>abilities/items/weapon/item_jia</v>
      </c>
      <c r="E95" s="9"/>
      <c r="F95" s="9"/>
      <c r="G95" s="9"/>
      <c r="H95" s="9" t="s">
        <v>343</v>
      </c>
      <c r="I95" s="9" t="s">
        <v>338</v>
      </c>
      <c r="J95" s="9" t="s">
        <v>274</v>
      </c>
      <c r="K95" s="9" t="s">
        <v>275</v>
      </c>
      <c r="L95" s="9" t="s">
        <v>283</v>
      </c>
      <c r="M95" s="9" t="s">
        <v>0</v>
      </c>
      <c r="N95" s="9"/>
      <c r="O95" s="9"/>
      <c r="P95" s="9"/>
      <c r="Q95" s="9"/>
      <c r="R95" s="9"/>
      <c r="S95" s="9"/>
      <c r="T95" s="9">
        <v>1000</v>
      </c>
      <c r="U95" s="9"/>
      <c r="V95" s="9"/>
      <c r="W95" s="9"/>
      <c r="X95" s="9"/>
      <c r="Y95" s="9"/>
      <c r="Z95" s="9"/>
      <c r="AA95" s="9"/>
      <c r="AB95" s="9"/>
      <c r="AC95" s="9"/>
      <c r="AD95" s="10" t="s">
        <v>374</v>
      </c>
      <c r="AE95" s="10" t="s">
        <v>347</v>
      </c>
      <c r="AF95" s="10" t="s">
        <v>345</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366</v>
      </c>
      <c r="B97" s="9"/>
      <c r="C97" s="9" t="s">
        <v>203</v>
      </c>
      <c r="D97" s="4" t="str">
        <f t="shared" ref="D97" si="31">"abilities/items/"&amp;I97&amp;"/item_jia"</f>
        <v>abilities/items/weapon/item_jia</v>
      </c>
      <c r="E97" s="9"/>
      <c r="F97" s="9"/>
      <c r="G97" s="9"/>
      <c r="H97" s="9" t="s">
        <v>366</v>
      </c>
      <c r="I97" s="9" t="s">
        <v>338</v>
      </c>
      <c r="J97" s="9" t="s">
        <v>274</v>
      </c>
      <c r="K97" s="9" t="s">
        <v>275</v>
      </c>
      <c r="L97" s="9" t="s">
        <v>283</v>
      </c>
      <c r="M97" s="9" t="s">
        <v>0</v>
      </c>
      <c r="N97" s="9"/>
      <c r="O97" s="9"/>
      <c r="P97" s="9"/>
      <c r="Q97" s="9"/>
      <c r="R97" s="9"/>
      <c r="S97" s="9"/>
      <c r="T97" s="9"/>
      <c r="U97" s="9"/>
      <c r="V97" s="9"/>
      <c r="W97" s="9"/>
      <c r="X97" s="9"/>
      <c r="Y97" s="9"/>
      <c r="Z97" s="9"/>
      <c r="AA97" s="9"/>
      <c r="AB97" s="9"/>
      <c r="AC97" s="9"/>
      <c r="AD97" s="10" t="s">
        <v>374</v>
      </c>
      <c r="AE97" s="10" t="s">
        <v>347</v>
      </c>
      <c r="AF97" s="10" t="s">
        <v>345</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367</v>
      </c>
      <c r="B99" s="9"/>
      <c r="C99" s="9" t="s">
        <v>203</v>
      </c>
      <c r="D99" s="4" t="str">
        <f t="shared" ref="D99" si="32">"abilities/items/"&amp;I99&amp;"/item_jia"</f>
        <v>abilities/items/weapon/item_jia</v>
      </c>
      <c r="E99" s="9"/>
      <c r="F99" s="9"/>
      <c r="G99" s="9"/>
      <c r="H99" s="9" t="s">
        <v>367</v>
      </c>
      <c r="I99" s="9" t="s">
        <v>338</v>
      </c>
      <c r="J99" s="9" t="s">
        <v>274</v>
      </c>
      <c r="K99" s="9" t="s">
        <v>275</v>
      </c>
      <c r="L99" s="9" t="s">
        <v>283</v>
      </c>
      <c r="M99" s="9" t="s">
        <v>0</v>
      </c>
      <c r="N99" s="9"/>
      <c r="O99" s="9"/>
      <c r="P99" s="9"/>
      <c r="Q99" s="9"/>
      <c r="R99" s="9"/>
      <c r="S99" s="9"/>
      <c r="T99" s="9"/>
      <c r="U99" s="9"/>
      <c r="V99" s="9"/>
      <c r="W99" s="9"/>
      <c r="X99" s="9"/>
      <c r="Y99" s="9"/>
      <c r="Z99" s="9"/>
      <c r="AA99" s="9"/>
      <c r="AB99" s="9"/>
      <c r="AC99" s="9"/>
      <c r="AD99" s="10" t="s">
        <v>374</v>
      </c>
      <c r="AE99" s="10" t="s">
        <v>347</v>
      </c>
      <c r="AF99" s="10" t="s">
        <v>345</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368</v>
      </c>
      <c r="C101" s="9" t="s">
        <v>203</v>
      </c>
      <c r="D101" s="4" t="str">
        <f t="shared" ref="D101" si="33">"abilities/items/"&amp;I101&amp;"/item_jia"</f>
        <v>abilities/items/weapon/item_jia</v>
      </c>
      <c r="H101" s="9" t="s">
        <v>368</v>
      </c>
      <c r="I101" s="9" t="s">
        <v>338</v>
      </c>
      <c r="J101" s="9" t="s">
        <v>274</v>
      </c>
      <c r="K101" s="9" t="s">
        <v>275</v>
      </c>
      <c r="L101" s="9" t="s">
        <v>283</v>
      </c>
      <c r="M101" s="9" t="s">
        <v>0</v>
      </c>
      <c r="AD101" s="10" t="s">
        <v>374</v>
      </c>
      <c r="AE101" s="10" t="s">
        <v>347</v>
      </c>
      <c r="AF101" s="10" t="s">
        <v>345</v>
      </c>
    </row>
    <row r="102" spans="1:40" x14ac:dyDescent="0.2">
      <c r="A102" s="9"/>
      <c r="C102" s="9"/>
      <c r="D102" s="9"/>
      <c r="H102" s="9"/>
      <c r="I102" s="9"/>
      <c r="J102" s="9"/>
      <c r="K102" s="9"/>
      <c r="L102" s="9"/>
      <c r="M102" s="9"/>
      <c r="AD102" s="10">
        <v>1600</v>
      </c>
      <c r="AE102" s="10">
        <v>20</v>
      </c>
      <c r="AF102" s="10">
        <v>12</v>
      </c>
    </row>
    <row r="103" spans="1:40" x14ac:dyDescent="0.2">
      <c r="A103" s="9" t="s">
        <v>369</v>
      </c>
      <c r="C103" s="9" t="s">
        <v>203</v>
      </c>
      <c r="D103" s="4" t="str">
        <f t="shared" ref="D103" si="34">"abilities/items/"&amp;I103&amp;"/item_jia"</f>
        <v>abilities/items/weapon/item_jia</v>
      </c>
      <c r="H103" s="9" t="s">
        <v>369</v>
      </c>
      <c r="I103" s="9" t="s">
        <v>338</v>
      </c>
      <c r="J103" s="9" t="s">
        <v>274</v>
      </c>
      <c r="K103" s="9" t="s">
        <v>275</v>
      </c>
      <c r="L103" s="9" t="s">
        <v>283</v>
      </c>
      <c r="M103" s="9" t="s">
        <v>0</v>
      </c>
      <c r="AD103" s="10" t="s">
        <v>374</v>
      </c>
      <c r="AE103" s="10" t="s">
        <v>347</v>
      </c>
      <c r="AF103" s="10" t="s">
        <v>345</v>
      </c>
    </row>
    <row r="104" spans="1:40" x14ac:dyDescent="0.2">
      <c r="C104" s="9"/>
      <c r="D104" s="9"/>
      <c r="I104" s="9"/>
      <c r="K104" s="9"/>
      <c r="AD104" s="1">
        <v>3200</v>
      </c>
      <c r="AE104" s="1">
        <v>30</v>
      </c>
      <c r="AF104" s="10">
        <v>15</v>
      </c>
    </row>
    <row r="105" spans="1:40" x14ac:dyDescent="0.2">
      <c r="A105" s="3" t="s">
        <v>344</v>
      </c>
      <c r="C105" s="9" t="s">
        <v>203</v>
      </c>
      <c r="D105" s="4" t="str">
        <f>"abilities/items/"&amp;I105&amp;"/item_xie"</f>
        <v>abilities/items/weapon/item_xie</v>
      </c>
      <c r="H105" s="3" t="s">
        <v>344</v>
      </c>
      <c r="I105" s="9" t="s">
        <v>338</v>
      </c>
      <c r="J105" s="9" t="s">
        <v>274</v>
      </c>
      <c r="K105" s="9" t="s">
        <v>275</v>
      </c>
      <c r="L105" s="9" t="s">
        <v>283</v>
      </c>
      <c r="M105" s="9" t="s">
        <v>0</v>
      </c>
      <c r="T105" s="3">
        <v>1000</v>
      </c>
      <c r="AD105" s="1" t="s">
        <v>375</v>
      </c>
      <c r="AE105" s="1" t="s">
        <v>346</v>
      </c>
      <c r="AF105" s="1" t="s">
        <v>376</v>
      </c>
    </row>
    <row r="106" spans="1:40" x14ac:dyDescent="0.2">
      <c r="C106" s="9"/>
      <c r="D106" s="9"/>
      <c r="I106" s="9"/>
      <c r="K106" s="9"/>
      <c r="AD106" s="1">
        <v>20</v>
      </c>
      <c r="AE106" s="1">
        <v>5</v>
      </c>
      <c r="AF106" s="1">
        <v>100</v>
      </c>
    </row>
    <row r="107" spans="1:40" x14ac:dyDescent="0.2">
      <c r="A107" s="3" t="s">
        <v>370</v>
      </c>
      <c r="C107" s="9" t="s">
        <v>203</v>
      </c>
      <c r="D107" s="4" t="str">
        <f t="shared" ref="D107" si="35">"abilities/items/"&amp;I107&amp;"/item_xie"</f>
        <v>abilities/items/weapon/item_xie</v>
      </c>
      <c r="H107" s="3" t="s">
        <v>370</v>
      </c>
      <c r="I107" s="9" t="s">
        <v>338</v>
      </c>
      <c r="J107" s="9" t="s">
        <v>274</v>
      </c>
      <c r="K107" s="9" t="s">
        <v>275</v>
      </c>
      <c r="L107" s="9" t="s">
        <v>283</v>
      </c>
      <c r="M107" s="9" t="s">
        <v>0</v>
      </c>
      <c r="AD107" s="1" t="s">
        <v>375</v>
      </c>
      <c r="AE107" s="1" t="s">
        <v>346</v>
      </c>
      <c r="AF107" s="1" t="s">
        <v>376</v>
      </c>
    </row>
    <row r="108" spans="1:40" x14ac:dyDescent="0.2">
      <c r="C108" s="9"/>
      <c r="D108" s="9"/>
      <c r="I108" s="9"/>
      <c r="K108" s="9"/>
      <c r="AD108" s="1">
        <v>40</v>
      </c>
      <c r="AE108" s="1">
        <v>10</v>
      </c>
      <c r="AF108" s="1">
        <v>200</v>
      </c>
    </row>
    <row r="109" spans="1:40" x14ac:dyDescent="0.2">
      <c r="A109" s="3" t="s">
        <v>371</v>
      </c>
      <c r="C109" s="9" t="s">
        <v>203</v>
      </c>
      <c r="D109" s="4" t="str">
        <f t="shared" ref="D109" si="36">"abilities/items/"&amp;I109&amp;"/item_xie"</f>
        <v>abilities/items/weapon/item_xie</v>
      </c>
      <c r="H109" s="3" t="s">
        <v>371</v>
      </c>
      <c r="I109" s="9" t="s">
        <v>338</v>
      </c>
      <c r="J109" s="9" t="s">
        <v>274</v>
      </c>
      <c r="K109" s="9" t="s">
        <v>275</v>
      </c>
      <c r="L109" s="9" t="s">
        <v>283</v>
      </c>
      <c r="M109" s="9" t="s">
        <v>0</v>
      </c>
      <c r="AD109" s="1" t="s">
        <v>375</v>
      </c>
      <c r="AE109" s="1" t="s">
        <v>346</v>
      </c>
      <c r="AF109" s="1" t="s">
        <v>376</v>
      </c>
    </row>
    <row r="110" spans="1:40" x14ac:dyDescent="0.2">
      <c r="C110" s="9"/>
      <c r="D110" s="9"/>
      <c r="I110" s="9"/>
      <c r="K110" s="9"/>
      <c r="AD110" s="1">
        <v>60</v>
      </c>
      <c r="AE110" s="1">
        <v>15</v>
      </c>
      <c r="AF110" s="1">
        <v>400</v>
      </c>
    </row>
    <row r="111" spans="1:40" x14ac:dyDescent="0.2">
      <c r="A111" s="3" t="s">
        <v>372</v>
      </c>
      <c r="C111" s="9" t="s">
        <v>203</v>
      </c>
      <c r="D111" s="4" t="str">
        <f t="shared" ref="D111" si="37">"abilities/items/"&amp;I111&amp;"/item_xie"</f>
        <v>abilities/items/weapon/item_xie</v>
      </c>
      <c r="H111" s="3" t="s">
        <v>372</v>
      </c>
      <c r="I111" s="9" t="s">
        <v>338</v>
      </c>
      <c r="J111" s="9" t="s">
        <v>274</v>
      </c>
      <c r="K111" s="9" t="s">
        <v>275</v>
      </c>
      <c r="L111" s="9" t="s">
        <v>283</v>
      </c>
      <c r="M111" s="9" t="s">
        <v>0</v>
      </c>
      <c r="AD111" s="1" t="s">
        <v>375</v>
      </c>
      <c r="AE111" s="1" t="s">
        <v>346</v>
      </c>
      <c r="AF111" s="1" t="s">
        <v>376</v>
      </c>
    </row>
    <row r="112" spans="1:40" x14ac:dyDescent="0.2">
      <c r="C112" s="9"/>
      <c r="D112" s="9"/>
      <c r="I112" s="9"/>
      <c r="K112" s="9"/>
      <c r="AD112" s="1">
        <v>80</v>
      </c>
      <c r="AE112" s="1">
        <v>20</v>
      </c>
      <c r="AF112" s="1">
        <v>800</v>
      </c>
    </row>
    <row r="113" spans="1:32" x14ac:dyDescent="0.2">
      <c r="A113" s="3" t="s">
        <v>373</v>
      </c>
      <c r="C113" s="9" t="s">
        <v>203</v>
      </c>
      <c r="D113" s="4" t="str">
        <f t="shared" ref="D113:D123" si="38">"abilities/items/"&amp;I113&amp;"/item_xie"</f>
        <v>abilities/items/weapon/item_xie</v>
      </c>
      <c r="H113" s="3" t="s">
        <v>373</v>
      </c>
      <c r="I113" s="9" t="s">
        <v>338</v>
      </c>
      <c r="J113" s="9" t="s">
        <v>274</v>
      </c>
      <c r="K113" s="9" t="s">
        <v>275</v>
      </c>
      <c r="L113" s="9" t="s">
        <v>283</v>
      </c>
      <c r="M113" s="9" t="s">
        <v>0</v>
      </c>
      <c r="AD113" s="1" t="s">
        <v>375</v>
      </c>
      <c r="AE113" s="1" t="s">
        <v>346</v>
      </c>
      <c r="AF113" s="1" t="s">
        <v>376</v>
      </c>
    </row>
    <row r="114" spans="1:32" x14ac:dyDescent="0.2">
      <c r="C114" s="9"/>
      <c r="D114" s="9"/>
      <c r="I114" s="9"/>
      <c r="AD114" s="1">
        <v>100</v>
      </c>
      <c r="AE114" s="1">
        <v>25</v>
      </c>
      <c r="AF114" s="1">
        <v>1600</v>
      </c>
    </row>
    <row r="115" spans="1:32" x14ac:dyDescent="0.2">
      <c r="A115" s="3" t="s">
        <v>377</v>
      </c>
      <c r="C115" s="9" t="s">
        <v>203</v>
      </c>
      <c r="D115" s="4" t="str">
        <f>"abilities/items/"&amp;I115&amp;"/"&amp;A115</f>
        <v>abilities/items/consumable/item_enchant_critical</v>
      </c>
      <c r="H115" s="3" t="s">
        <v>379</v>
      </c>
      <c r="I115" s="3" t="s">
        <v>224</v>
      </c>
      <c r="J115" s="9" t="s">
        <v>274</v>
      </c>
      <c r="K115" s="9" t="s">
        <v>275</v>
      </c>
      <c r="L115" s="9" t="s">
        <v>283</v>
      </c>
      <c r="M115" s="9" t="s">
        <v>219</v>
      </c>
      <c r="T115" s="3">
        <v>4000</v>
      </c>
      <c r="U115" s="3">
        <v>1</v>
      </c>
      <c r="V115" s="3">
        <v>1</v>
      </c>
      <c r="W115" s="3">
        <v>0</v>
      </c>
      <c r="X115" s="3">
        <v>1</v>
      </c>
      <c r="Z115" s="3">
        <v>1</v>
      </c>
      <c r="AA115" s="3">
        <v>100</v>
      </c>
      <c r="AD115" s="1" t="s">
        <v>284</v>
      </c>
      <c r="AE115" s="1" t="s">
        <v>382</v>
      </c>
    </row>
    <row r="116" spans="1:32" x14ac:dyDescent="0.2">
      <c r="C116" s="9"/>
      <c r="D116" s="9"/>
      <c r="M116" s="9"/>
      <c r="AD116" s="1">
        <v>25</v>
      </c>
      <c r="AE116" s="1">
        <v>40</v>
      </c>
    </row>
    <row r="117" spans="1:32" x14ac:dyDescent="0.2">
      <c r="A117" s="3" t="s">
        <v>380</v>
      </c>
      <c r="C117" s="9" t="s">
        <v>203</v>
      </c>
      <c r="D117" s="4" t="str">
        <f t="shared" ref="D117:D122" si="39">"abilities/items/"&amp;I117&amp;"/"&amp;A117</f>
        <v>abilities/items/consumable/item_enchant_reduce_armor</v>
      </c>
      <c r="H117" s="3" t="s">
        <v>379</v>
      </c>
      <c r="I117" s="3" t="s">
        <v>224</v>
      </c>
      <c r="J117" s="9" t="s">
        <v>274</v>
      </c>
      <c r="K117" s="9" t="s">
        <v>275</v>
      </c>
      <c r="L117" s="9" t="s">
        <v>283</v>
      </c>
      <c r="M117" s="9" t="s">
        <v>219</v>
      </c>
      <c r="T117" s="3">
        <v>4000</v>
      </c>
      <c r="U117" s="3">
        <v>1</v>
      </c>
      <c r="V117" s="3">
        <v>1</v>
      </c>
      <c r="W117" s="3">
        <v>0</v>
      </c>
      <c r="X117" s="3">
        <v>1</v>
      </c>
      <c r="Z117" s="3">
        <v>1</v>
      </c>
      <c r="AA117" s="3">
        <v>100</v>
      </c>
      <c r="AD117" s="1" t="s">
        <v>384</v>
      </c>
    </row>
    <row r="118" spans="1:32" x14ac:dyDescent="0.2">
      <c r="C118" s="9"/>
      <c r="D118" s="9"/>
      <c r="M118" s="9"/>
      <c r="AD118" s="1">
        <v>6</v>
      </c>
    </row>
    <row r="119" spans="1:32" x14ac:dyDescent="0.2">
      <c r="A119" s="3" t="s">
        <v>381</v>
      </c>
      <c r="C119" s="9" t="s">
        <v>203</v>
      </c>
      <c r="D119" s="4" t="str">
        <f t="shared" ref="D119:D122" si="40">"abilities/items/"&amp;I119&amp;"/"&amp;A119</f>
        <v>abilities/items/consumable/item_enchant_reduce_resistance</v>
      </c>
      <c r="H119" s="3" t="s">
        <v>379</v>
      </c>
      <c r="I119" s="3" t="s">
        <v>224</v>
      </c>
      <c r="J119" s="9" t="s">
        <v>274</v>
      </c>
      <c r="K119" s="9" t="s">
        <v>275</v>
      </c>
      <c r="L119" s="9" t="s">
        <v>283</v>
      </c>
      <c r="M119" s="9" t="s">
        <v>219</v>
      </c>
      <c r="T119" s="3">
        <v>4000</v>
      </c>
      <c r="U119" s="3">
        <v>1</v>
      </c>
      <c r="V119" s="3">
        <v>1</v>
      </c>
      <c r="W119" s="3">
        <v>0</v>
      </c>
      <c r="X119" s="3">
        <v>1</v>
      </c>
      <c r="Z119" s="3">
        <v>1</v>
      </c>
      <c r="AA119" s="3">
        <v>100</v>
      </c>
      <c r="AD119" s="1" t="s">
        <v>384</v>
      </c>
    </row>
    <row r="120" spans="1:32" x14ac:dyDescent="0.2">
      <c r="C120" s="9"/>
      <c r="D120" s="9"/>
      <c r="M120" s="9"/>
      <c r="AD120" s="1">
        <v>2.5</v>
      </c>
    </row>
    <row r="121" spans="1:32" x14ac:dyDescent="0.2">
      <c r="A121" s="3" t="s">
        <v>378</v>
      </c>
      <c r="C121" s="9" t="s">
        <v>203</v>
      </c>
      <c r="D121" s="4" t="str">
        <f t="shared" ref="D121:D122" si="41">"abilities/items/"&amp;I121&amp;"/"&amp;A121</f>
        <v>abilities/items/consumable/item_enchant_lifesteal</v>
      </c>
      <c r="H121" s="3" t="s">
        <v>379</v>
      </c>
      <c r="I121" s="3" t="s">
        <v>224</v>
      </c>
      <c r="J121" s="9" t="s">
        <v>274</v>
      </c>
      <c r="K121" s="9" t="s">
        <v>275</v>
      </c>
      <c r="L121" s="9" t="s">
        <v>283</v>
      </c>
      <c r="M121" s="9" t="s">
        <v>219</v>
      </c>
      <c r="T121" s="3">
        <v>4000</v>
      </c>
      <c r="U121" s="3">
        <v>1</v>
      </c>
      <c r="V121" s="3">
        <v>1</v>
      </c>
      <c r="W121" s="3">
        <v>0</v>
      </c>
      <c r="X121" s="3">
        <v>1</v>
      </c>
      <c r="Z121" s="3">
        <v>1</v>
      </c>
      <c r="AA121" s="3">
        <v>100</v>
      </c>
      <c r="AD121" s="1" t="s">
        <v>383</v>
      </c>
    </row>
    <row r="122" spans="1:32" x14ac:dyDescent="0.2">
      <c r="C122" s="9"/>
      <c r="D122" s="9"/>
      <c r="M122" s="9"/>
      <c r="AD122" s="1">
        <v>4</v>
      </c>
    </row>
    <row r="123" spans="1:32" x14ac:dyDescent="0.2">
      <c r="C123" s="9"/>
      <c r="D123" s="4"/>
      <c r="J123" s="9"/>
      <c r="K123" s="9"/>
      <c r="L123" s="9"/>
      <c r="M123" s="9"/>
    </row>
    <row r="124" spans="1:32" x14ac:dyDescent="0.2">
      <c r="C124" s="9"/>
      <c r="D124" s="9"/>
    </row>
  </sheetData>
  <phoneticPr fontId="1" type="noConversion"/>
  <conditionalFormatting sqref="J5:L9 A3:AC4 I11:L11 I13:L13 I15:L15 I17:L17 I19:L19 I21:L21 I23:J23 I25:J25 I27:J27 I3:I9 D5:E22">
    <cfRule type="expression" dxfId="188" priority="296">
      <formula>AND(ISBLANK(A3)=FALSE,MOD(ROW(),2)=0)</formula>
    </cfRule>
  </conditionalFormatting>
  <conditionalFormatting sqref="A3:AK52 A53:AH58 A94:AH94 A59:AK60 AD63:AK68 AD69:AH76 A76:AC76 R63:AC75 R61:AK62 A61:Q75 R87:AH93 R77:AK86 A77:Q93 AO3:XFD1000 A95:AK1000">
    <cfRule type="expression" dxfId="187" priority="299">
      <formula>MOD(ROW(A4),2)=0</formula>
    </cfRule>
    <cfRule type="expression" dxfId="186" priority="300">
      <formula>MOD(ROW(A4),4)&lt;2</formula>
    </cfRule>
    <cfRule type="expression" dxfId="185" priority="303">
      <formula>MOD(ROW(A6),4)&lt;2</formula>
    </cfRule>
  </conditionalFormatting>
  <conditionalFormatting sqref="B11:B12">
    <cfRule type="expression" dxfId="184" priority="93">
      <formula>AND(ISBLANK(B11)=FALSE,MOD(ROW(),2)=0)</formula>
    </cfRule>
  </conditionalFormatting>
  <conditionalFormatting sqref="T11:AC12">
    <cfRule type="expression" dxfId="183" priority="92">
      <formula>AND(ISBLANK(T11)=FALSE,MOD(ROW(),2)=0)</formula>
    </cfRule>
  </conditionalFormatting>
  <conditionalFormatting sqref="B19">
    <cfRule type="expression" dxfId="182" priority="91">
      <formula>AND(ISBLANK(B19)=FALSE,MOD(ROW(),2)=0)</formula>
    </cfRule>
  </conditionalFormatting>
  <conditionalFormatting sqref="B21">
    <cfRule type="expression" dxfId="181" priority="90">
      <formula>AND(ISBLANK(B21)=FALSE,MOD(ROW(),2)=0)</formula>
    </cfRule>
  </conditionalFormatting>
  <conditionalFormatting sqref="J37 J35">
    <cfRule type="expression" dxfId="180" priority="89">
      <formula>AND(ISBLANK(J35)=FALSE,MOD(ROW(),2)=0)</formula>
    </cfRule>
  </conditionalFormatting>
  <conditionalFormatting sqref="J29 J31">
    <cfRule type="expression" dxfId="179" priority="88">
      <formula>AND(ISBLANK(J29)=FALSE,MOD(ROW(),2)=0)</formula>
    </cfRule>
  </conditionalFormatting>
  <conditionalFormatting sqref="J33">
    <cfRule type="expression" dxfId="178" priority="87">
      <formula>AND(ISBLANK(J33)=FALSE,MOD(ROW(),2)=0)</formula>
    </cfRule>
  </conditionalFormatting>
  <conditionalFormatting sqref="J39">
    <cfRule type="expression" dxfId="177" priority="86">
      <formula>AND(ISBLANK(J39)=FALSE,MOD(ROW(),2)=0)</formula>
    </cfRule>
  </conditionalFormatting>
  <conditionalFormatting sqref="I37 I35">
    <cfRule type="expression" dxfId="176" priority="85">
      <formula>AND(ISBLANK(I35)=FALSE,MOD(ROW(),2)=0)</formula>
    </cfRule>
  </conditionalFormatting>
  <conditionalFormatting sqref="I29 I31">
    <cfRule type="expression" dxfId="175" priority="84">
      <formula>AND(ISBLANK(I29)=FALSE,MOD(ROW(),2)=0)</formula>
    </cfRule>
  </conditionalFormatting>
  <conditionalFormatting sqref="I33">
    <cfRule type="expression" dxfId="174" priority="83">
      <formula>AND(ISBLANK(I33)=FALSE,MOD(ROW(),2)=0)</formula>
    </cfRule>
  </conditionalFormatting>
  <conditionalFormatting sqref="I39">
    <cfRule type="expression" dxfId="173" priority="82">
      <formula>AND(ISBLANK(I39)=FALSE,MOD(ROW(),2)=0)</formula>
    </cfRule>
  </conditionalFormatting>
  <conditionalFormatting sqref="D41 D43 D45 D47 D49 D59 D61 D63 D65 D67 D51 D53 D55 D57 D77 D79 D81 D83 D85 D69 D71 D73 D75 D87 D89 D91 D93 D95 D97 D99 D101 D103 D105 D107 D109 D111 D113 D115 D123 D117 D119 D121">
    <cfRule type="expression" dxfId="172" priority="81">
      <formula>AND(ISBLANK(D41)=FALSE,MOD(ROW(),2)=0)</formula>
    </cfRule>
  </conditionalFormatting>
  <conditionalFormatting sqref="AL3:AL52 AL59:AL68 AL77:AL86 AL95:AL1000">
    <cfRule type="expression" dxfId="171" priority="78">
      <formula>MOD(ROW(AL4),2)=0</formula>
    </cfRule>
    <cfRule type="expression" dxfId="170" priority="79">
      <formula>MOD(ROW(AL4),4)&lt;2</formula>
    </cfRule>
    <cfRule type="expression" dxfId="169" priority="80">
      <formula>MOD(ROW(AL6),4)&lt;2</formula>
    </cfRule>
  </conditionalFormatting>
  <conditionalFormatting sqref="AM3:AM52 AM59:AM68 AM77:AM86 AM95:AM1000">
    <cfRule type="expression" dxfId="168" priority="75">
      <formula>MOD(ROW(AM4),2)=0</formula>
    </cfRule>
    <cfRule type="expression" dxfId="167" priority="76">
      <formula>MOD(ROW(AM4),4)&lt;2</formula>
    </cfRule>
    <cfRule type="expression" dxfId="166" priority="77">
      <formula>MOD(ROW(AM6),4)&lt;2</formula>
    </cfRule>
  </conditionalFormatting>
  <conditionalFormatting sqref="AN3:AN50 AN59:AN68 AN77:AN86 AN95:AN1000">
    <cfRule type="expression" dxfId="165" priority="72">
      <formula>MOD(ROW(AN4),2)=0</formula>
    </cfRule>
    <cfRule type="expression" dxfId="164" priority="73">
      <formula>MOD(ROW(AN4),4)&lt;2</formula>
    </cfRule>
    <cfRule type="expression" dxfId="163" priority="74">
      <formula>MOD(ROW(AN6),4)&lt;2</formula>
    </cfRule>
  </conditionalFormatting>
  <conditionalFormatting sqref="AN51:AN52">
    <cfRule type="expression" dxfId="162" priority="69">
      <formula>MOD(ROW(AN52),2)=0</formula>
    </cfRule>
    <cfRule type="expression" dxfId="161" priority="70">
      <formula>MOD(ROW(AN52),4)&lt;2</formula>
    </cfRule>
    <cfRule type="expression" dxfId="160" priority="71">
      <formula>MOD(ROW(AN54),4)&lt;2</formula>
    </cfRule>
  </conditionalFormatting>
  <conditionalFormatting sqref="AI53:AK58">
    <cfRule type="expression" dxfId="159" priority="66">
      <formula>MOD(ROW(AI54),2)=0</formula>
    </cfRule>
    <cfRule type="expression" dxfId="158" priority="67">
      <formula>MOD(ROW(AI54),4)&lt;2</formula>
    </cfRule>
    <cfRule type="expression" dxfId="157" priority="68">
      <formula>MOD(ROW(AI56),4)&lt;2</formula>
    </cfRule>
  </conditionalFormatting>
  <conditionalFormatting sqref="AL53:AL58">
    <cfRule type="expression" dxfId="156" priority="63">
      <formula>MOD(ROW(AL54),2)=0</formula>
    </cfRule>
    <cfRule type="expression" dxfId="155" priority="64">
      <formula>MOD(ROW(AL54),4)&lt;2</formula>
    </cfRule>
    <cfRule type="expression" dxfId="154" priority="65">
      <formula>MOD(ROW(AL56),4)&lt;2</formula>
    </cfRule>
  </conditionalFormatting>
  <conditionalFormatting sqref="AM53:AM58">
    <cfRule type="expression" dxfId="153" priority="60">
      <formula>MOD(ROW(AM54),2)=0</formula>
    </cfRule>
    <cfRule type="expression" dxfId="152" priority="61">
      <formula>MOD(ROW(AM54),4)&lt;2</formula>
    </cfRule>
    <cfRule type="expression" dxfId="151" priority="62">
      <formula>MOD(ROW(AM56),4)&lt;2</formula>
    </cfRule>
  </conditionalFormatting>
  <conditionalFormatting sqref="AN53:AN58">
    <cfRule type="expression" dxfId="150" priority="57">
      <formula>MOD(ROW(AN54),2)=0</formula>
    </cfRule>
    <cfRule type="expression" dxfId="149" priority="58">
      <formula>MOD(ROW(AN54),4)&lt;2</formula>
    </cfRule>
    <cfRule type="expression" dxfId="148" priority="59">
      <formula>MOD(ROW(AN56),4)&lt;2</formula>
    </cfRule>
  </conditionalFormatting>
  <conditionalFormatting sqref="AN89:AN94">
    <cfRule type="expression" dxfId="147" priority="9">
      <formula>MOD(ROW(AN90),2)=0</formula>
    </cfRule>
    <cfRule type="expression" dxfId="146" priority="10">
      <formula>MOD(ROW(AN90),4)&lt;2</formula>
    </cfRule>
    <cfRule type="expression" dxfId="145" priority="11">
      <formula>MOD(ROW(AN92),4)&lt;2</formula>
    </cfRule>
  </conditionalFormatting>
  <conditionalFormatting sqref="AI69:AK70">
    <cfRule type="expression" dxfId="144" priority="54">
      <formula>MOD(ROW(AI70),2)=0</formula>
    </cfRule>
    <cfRule type="expression" dxfId="143" priority="55">
      <formula>MOD(ROW(AI70),4)&lt;2</formula>
    </cfRule>
    <cfRule type="expression" dxfId="142" priority="56">
      <formula>MOD(ROW(AI72),4)&lt;2</formula>
    </cfRule>
  </conditionalFormatting>
  <conditionalFormatting sqref="AL69:AL70">
    <cfRule type="expression" dxfId="141" priority="51">
      <formula>MOD(ROW(AL70),2)=0</formula>
    </cfRule>
    <cfRule type="expression" dxfId="140" priority="52">
      <formula>MOD(ROW(AL70),4)&lt;2</formula>
    </cfRule>
    <cfRule type="expression" dxfId="139" priority="53">
      <formula>MOD(ROW(AL72),4)&lt;2</formula>
    </cfRule>
  </conditionalFormatting>
  <conditionalFormatting sqref="AM69:AM70">
    <cfRule type="expression" dxfId="138" priority="48">
      <formula>MOD(ROW(AM70),2)=0</formula>
    </cfRule>
    <cfRule type="expression" dxfId="137" priority="49">
      <formula>MOD(ROW(AM70),4)&lt;2</formula>
    </cfRule>
    <cfRule type="expression" dxfId="136" priority="50">
      <formula>MOD(ROW(AM72),4)&lt;2</formula>
    </cfRule>
  </conditionalFormatting>
  <conditionalFormatting sqref="AN69:AN70">
    <cfRule type="expression" dxfId="135" priority="45">
      <formula>MOD(ROW(AN70),2)=0</formula>
    </cfRule>
    <cfRule type="expression" dxfId="134" priority="46">
      <formula>MOD(ROW(AN70),4)&lt;2</formula>
    </cfRule>
    <cfRule type="expression" dxfId="133" priority="47">
      <formula>MOD(ROW(AN72),4)&lt;2</formula>
    </cfRule>
  </conditionalFormatting>
  <conditionalFormatting sqref="AI71:AK76">
    <cfRule type="expression" dxfId="132" priority="42">
      <formula>MOD(ROW(AI72),2)=0</formula>
    </cfRule>
    <cfRule type="expression" dxfId="131" priority="43">
      <formula>MOD(ROW(AI72),4)&lt;2</formula>
    </cfRule>
    <cfRule type="expression" dxfId="130" priority="44">
      <formula>MOD(ROW(AI74),4)&lt;2</formula>
    </cfRule>
  </conditionalFormatting>
  <conditionalFormatting sqref="AL71:AL76">
    <cfRule type="expression" dxfId="129" priority="39">
      <formula>MOD(ROW(AL72),2)=0</formula>
    </cfRule>
    <cfRule type="expression" dxfId="128" priority="40">
      <formula>MOD(ROW(AL72),4)&lt;2</formula>
    </cfRule>
    <cfRule type="expression" dxfId="127" priority="41">
      <formula>MOD(ROW(AL74),4)&lt;2</formula>
    </cfRule>
  </conditionalFormatting>
  <conditionalFormatting sqref="AM71:AM76">
    <cfRule type="expression" dxfId="126" priority="36">
      <formula>MOD(ROW(AM72),2)=0</formula>
    </cfRule>
    <cfRule type="expression" dxfId="125" priority="37">
      <formula>MOD(ROW(AM72),4)&lt;2</formula>
    </cfRule>
    <cfRule type="expression" dxfId="124" priority="38">
      <formula>MOD(ROW(AM74),4)&lt;2</formula>
    </cfRule>
  </conditionalFormatting>
  <conditionalFormatting sqref="AN71:AN76">
    <cfRule type="expression" dxfId="123" priority="33">
      <formula>MOD(ROW(AN72),2)=0</formula>
    </cfRule>
    <cfRule type="expression" dxfId="122" priority="34">
      <formula>MOD(ROW(AN72),4)&lt;2</formula>
    </cfRule>
    <cfRule type="expression" dxfId="121" priority="35">
      <formula>MOD(ROW(AN74),4)&lt;2</formula>
    </cfRule>
  </conditionalFormatting>
  <conditionalFormatting sqref="AI87:AK88">
    <cfRule type="expression" dxfId="120" priority="30">
      <formula>MOD(ROW(AI88),2)=0</formula>
    </cfRule>
    <cfRule type="expression" dxfId="119" priority="31">
      <formula>MOD(ROW(AI88),4)&lt;2</formula>
    </cfRule>
    <cfRule type="expression" dxfId="118" priority="32">
      <formula>MOD(ROW(AI90),4)&lt;2</formula>
    </cfRule>
  </conditionalFormatting>
  <conditionalFormatting sqref="AL87:AL88">
    <cfRule type="expression" dxfId="117" priority="27">
      <formula>MOD(ROW(AL88),2)=0</formula>
    </cfRule>
    <cfRule type="expression" dxfId="116" priority="28">
      <formula>MOD(ROW(AL88),4)&lt;2</formula>
    </cfRule>
    <cfRule type="expression" dxfId="115" priority="29">
      <formula>MOD(ROW(AL90),4)&lt;2</formula>
    </cfRule>
  </conditionalFormatting>
  <conditionalFormatting sqref="AM87:AM88">
    <cfRule type="expression" dxfId="114" priority="24">
      <formula>MOD(ROW(AM88),2)=0</formula>
    </cfRule>
    <cfRule type="expression" dxfId="113" priority="25">
      <formula>MOD(ROW(AM88),4)&lt;2</formula>
    </cfRule>
    <cfRule type="expression" dxfId="112" priority="26">
      <formula>MOD(ROW(AM90),4)&lt;2</formula>
    </cfRule>
  </conditionalFormatting>
  <conditionalFormatting sqref="AN87:AN88">
    <cfRule type="expression" dxfId="111" priority="21">
      <formula>MOD(ROW(AN88),2)=0</formula>
    </cfRule>
    <cfRule type="expression" dxfId="110" priority="22">
      <formula>MOD(ROW(AN88),4)&lt;2</formula>
    </cfRule>
    <cfRule type="expression" dxfId="109" priority="23">
      <formula>MOD(ROW(AN90),4)&lt;2</formula>
    </cfRule>
  </conditionalFormatting>
  <conditionalFormatting sqref="AI89:AK94">
    <cfRule type="expression" dxfId="108" priority="18">
      <formula>MOD(ROW(AI90),2)=0</formula>
    </cfRule>
    <cfRule type="expression" dxfId="107" priority="19">
      <formula>MOD(ROW(AI90),4)&lt;2</formula>
    </cfRule>
    <cfRule type="expression" dxfId="106" priority="20">
      <formula>MOD(ROW(AI92),4)&lt;2</formula>
    </cfRule>
  </conditionalFormatting>
  <conditionalFormatting sqref="AL89:AL94">
    <cfRule type="expression" dxfId="105" priority="15">
      <formula>MOD(ROW(AL90),2)=0</formula>
    </cfRule>
    <cfRule type="expression" dxfId="104" priority="16">
      <formula>MOD(ROW(AL90),4)&lt;2</formula>
    </cfRule>
    <cfRule type="expression" dxfId="103" priority="17">
      <formula>MOD(ROW(AL92),4)&lt;2</formula>
    </cfRule>
  </conditionalFormatting>
  <conditionalFormatting sqref="AM89:AM94">
    <cfRule type="expression" dxfId="102" priority="12">
      <formula>MOD(ROW(AM90),2)=0</formula>
    </cfRule>
    <cfRule type="expression" dxfId="101" priority="13">
      <formula>MOD(ROW(AM90),4)&lt;2</formula>
    </cfRule>
    <cfRule type="expression" dxfId="100" priority="14">
      <formula>MOD(ROW(AM92),4)&lt;2</formula>
    </cfRule>
  </conditionalFormatting>
  <conditionalFormatting sqref="U115:AA115">
    <cfRule type="expression" dxfId="7" priority="8">
      <formula>AND(ISBLANK(U115)=FALSE,MOD(ROW(),2)=0)</formula>
    </cfRule>
  </conditionalFormatting>
  <conditionalFormatting sqref="U117:AA117">
    <cfRule type="expression" dxfId="6" priority="7">
      <formula>AND(ISBLANK(U117)=FALSE,MOD(ROW(),2)=0)</formula>
    </cfRule>
  </conditionalFormatting>
  <conditionalFormatting sqref="U119:AA119">
    <cfRule type="expression" dxfId="5" priority="6">
      <formula>AND(ISBLANK(U119)=FALSE,MOD(ROW(),2)=0)</formula>
    </cfRule>
  </conditionalFormatting>
  <conditionalFormatting sqref="U121:AA121">
    <cfRule type="expression" dxfId="4" priority="5">
      <formula>AND(ISBLANK(U121)=FALSE,MOD(ROW(),2)=0)</formula>
    </cfRule>
  </conditionalFormatting>
  <conditionalFormatting sqref="U123:AA123">
    <cfRule type="expression" dxfId="3" priority="4">
      <formula>AND(ISBLANK(U123)=FALSE,MOD(ROW(),2)=0)</formula>
    </cfRule>
  </conditionalFormatting>
  <conditionalFormatting sqref="U117:AA117">
    <cfRule type="expression" dxfId="2" priority="3">
      <formula>AND(ISBLANK(U117)=FALSE,MOD(ROW(),2)=0)</formula>
    </cfRule>
  </conditionalFormatting>
  <conditionalFormatting sqref="U119:AA119">
    <cfRule type="expression" dxfId="1" priority="2">
      <formula>AND(ISBLANK(U119)=FALSE,MOD(ROW(),2)=0)</formula>
    </cfRule>
  </conditionalFormatting>
  <conditionalFormatting sqref="U121:AA121">
    <cfRule type="expression" dxfId="0" priority="1">
      <formula>AND(ISBLANK(U121)=FALSE,MOD(ROW(),2)=0)</formula>
    </cfRule>
  </conditionalFormatting>
  <dataValidations count="1">
    <dataValidation type="list" allowBlank="1" showInputMessage="1" showErrorMessage="1" sqref="C1:C1048576" xr:uid="{2539F7A3-B9A3-4D01-850F-855B8C5BF55B}">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A6D3489C-3968-46E7-A3E3-858BBCFA02C9}">
          <x14:formula1>
            <xm:f>Sheet2!$E$35:$E$51</xm:f>
          </x14:formula1>
          <xm:sqref>AD1:AN1048576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013A7-0D01-4E46-9C3B-0269CB1FA99E}">
  <sheetPr codeName="Sheet2"/>
  <dimension ref="A1:M51"/>
  <sheetViews>
    <sheetView topLeftCell="B1" workbookViewId="0">
      <selection activeCell="I38" sqref="G17:I38"/>
    </sheetView>
  </sheetViews>
  <sheetFormatPr defaultColWidth="9" defaultRowHeight="14.25" x14ac:dyDescent="0.2"/>
  <cols>
    <col min="1" max="1" width="9" style="7"/>
    <col min="2" max="2" width="11.375" style="7" bestFit="1" customWidth="1"/>
    <col min="3" max="3" width="15.375" style="7" customWidth="1"/>
    <col min="4" max="4" width="15.125" style="8" bestFit="1" customWidth="1"/>
    <col min="5" max="5" width="51" style="8" bestFit="1" customWidth="1"/>
    <col min="6" max="6" width="34.875" style="8" customWidth="1"/>
    <col min="7" max="8" width="28.625" style="7" customWidth="1"/>
    <col min="9" max="9" width="26.375" style="8" customWidth="1"/>
    <col min="10" max="10" width="16" style="8" customWidth="1"/>
    <col min="11" max="11" width="9" style="8"/>
    <col min="12" max="12" width="20.25" style="7" customWidth="1"/>
    <col min="13" max="13" width="15.25" style="7" customWidth="1"/>
    <col min="14" max="14" width="23" style="8" customWidth="1"/>
    <col min="15" max="16384" width="9" style="8"/>
  </cols>
  <sheetData>
    <row r="1" spans="1:10" s="6" customFormat="1" x14ac:dyDescent="0.2">
      <c r="A1" s="6" t="s">
        <v>7</v>
      </c>
      <c r="B1" s="6" t="s">
        <v>2</v>
      </c>
      <c r="C1" s="6" t="s">
        <v>151</v>
      </c>
      <c r="D1" s="6" t="s">
        <v>4</v>
      </c>
      <c r="E1" s="6" t="s">
        <v>1</v>
      </c>
      <c r="F1" s="6" t="s">
        <v>158</v>
      </c>
      <c r="I1" s="6" t="s">
        <v>147</v>
      </c>
      <c r="J1" s="6" t="s">
        <v>148</v>
      </c>
    </row>
    <row r="2" spans="1:10" x14ac:dyDescent="0.2">
      <c r="A2" s="7" t="s">
        <v>6</v>
      </c>
      <c r="B2" s="7" t="s">
        <v>3</v>
      </c>
      <c r="C2" s="7" t="s">
        <v>152</v>
      </c>
      <c r="D2" s="8" t="s">
        <v>104</v>
      </c>
      <c r="E2" s="8" t="s">
        <v>86</v>
      </c>
      <c r="F2" s="8" t="s">
        <v>160</v>
      </c>
      <c r="I2" s="8" t="str">
        <f>"abilities/boss/"&amp;Sheet1!A3</f>
        <v>abilities/boss/item_clarity1</v>
      </c>
      <c r="J2" s="8" t="s">
        <v>149</v>
      </c>
    </row>
    <row r="3" spans="1:10" x14ac:dyDescent="0.2">
      <c r="A3" s="7" t="s">
        <v>150</v>
      </c>
      <c r="B3" s="7" t="s">
        <v>146</v>
      </c>
      <c r="C3" s="7" t="s">
        <v>153</v>
      </c>
      <c r="D3" s="8" t="s">
        <v>108</v>
      </c>
      <c r="E3" s="8" t="s">
        <v>87</v>
      </c>
      <c r="F3" s="8" t="s">
        <v>161</v>
      </c>
      <c r="I3" s="8" t="s">
        <v>156</v>
      </c>
    </row>
    <row r="4" spans="1:10" x14ac:dyDescent="0.2">
      <c r="A4" s="7" t="s">
        <v>8</v>
      </c>
      <c r="B4" s="7" t="s">
        <v>9</v>
      </c>
      <c r="C4" s="7" t="s">
        <v>154</v>
      </c>
      <c r="D4" s="8" t="s">
        <v>109</v>
      </c>
      <c r="E4" s="8" t="s">
        <v>0</v>
      </c>
      <c r="F4" s="8" t="s">
        <v>162</v>
      </c>
    </row>
    <row r="5" spans="1:10" x14ac:dyDescent="0.2">
      <c r="A5" s="7" t="s">
        <v>43</v>
      </c>
      <c r="B5" s="7" t="s">
        <v>10</v>
      </c>
      <c r="C5" s="7" t="s">
        <v>155</v>
      </c>
      <c r="D5" s="8" t="s">
        <v>110</v>
      </c>
      <c r="E5" s="8" t="s">
        <v>88</v>
      </c>
      <c r="F5" s="8" t="s">
        <v>159</v>
      </c>
    </row>
    <row r="6" spans="1:10" x14ac:dyDescent="0.2">
      <c r="A6" s="7" t="s">
        <v>44</v>
      </c>
      <c r="B6" s="7" t="s">
        <v>11</v>
      </c>
      <c r="D6" s="8" t="s">
        <v>111</v>
      </c>
      <c r="E6" s="8" t="s">
        <v>5</v>
      </c>
      <c r="F6" s="6" t="s">
        <v>174</v>
      </c>
    </row>
    <row r="7" spans="1:10" x14ac:dyDescent="0.2">
      <c r="A7" s="7" t="s">
        <v>45</v>
      </c>
      <c r="B7" s="7" t="s">
        <v>12</v>
      </c>
      <c r="D7" s="8" t="s">
        <v>112</v>
      </c>
      <c r="E7" s="8" t="s">
        <v>89</v>
      </c>
      <c r="F7" s="7" t="s">
        <v>178</v>
      </c>
    </row>
    <row r="8" spans="1:10" x14ac:dyDescent="0.2">
      <c r="A8" s="7" t="s">
        <v>46</v>
      </c>
      <c r="B8" s="7" t="s">
        <v>13</v>
      </c>
      <c r="D8" s="8" t="s">
        <v>113</v>
      </c>
      <c r="E8" s="8" t="s">
        <v>90</v>
      </c>
      <c r="F8" s="7" t="s">
        <v>179</v>
      </c>
    </row>
    <row r="9" spans="1:10" x14ac:dyDescent="0.2">
      <c r="A9" s="7" t="s">
        <v>47</v>
      </c>
      <c r="B9" s="7" t="s">
        <v>14</v>
      </c>
      <c r="D9" s="8" t="s">
        <v>114</v>
      </c>
      <c r="E9" s="8" t="s">
        <v>91</v>
      </c>
      <c r="F9" s="7" t="s">
        <v>176</v>
      </c>
    </row>
    <row r="10" spans="1:10" x14ac:dyDescent="0.2">
      <c r="A10" s="7" t="s">
        <v>48</v>
      </c>
      <c r="B10" s="7" t="s">
        <v>15</v>
      </c>
      <c r="D10" s="8" t="s">
        <v>115</v>
      </c>
      <c r="E10" s="8" t="s">
        <v>157</v>
      </c>
      <c r="F10" s="7" t="s">
        <v>180</v>
      </c>
    </row>
    <row r="11" spans="1:10" x14ac:dyDescent="0.2">
      <c r="A11" s="7" t="s">
        <v>49</v>
      </c>
      <c r="B11" s="7" t="s">
        <v>16</v>
      </c>
      <c r="D11" s="8" t="s">
        <v>116</v>
      </c>
      <c r="E11" s="8" t="s">
        <v>92</v>
      </c>
      <c r="F11" s="7" t="s">
        <v>177</v>
      </c>
    </row>
    <row r="12" spans="1:10" x14ac:dyDescent="0.2">
      <c r="A12" s="7" t="s">
        <v>50</v>
      </c>
      <c r="B12" s="7" t="s">
        <v>17</v>
      </c>
      <c r="D12" s="8" t="s">
        <v>117</v>
      </c>
      <c r="E12" s="8" t="s">
        <v>93</v>
      </c>
      <c r="F12" s="7" t="s">
        <v>181</v>
      </c>
    </row>
    <row r="13" spans="1:10" x14ac:dyDescent="0.2">
      <c r="A13" s="7" t="s">
        <v>51</v>
      </c>
      <c r="B13" s="7" t="s">
        <v>18</v>
      </c>
      <c r="D13" s="8" t="s">
        <v>138</v>
      </c>
      <c r="E13" s="8" t="s">
        <v>137</v>
      </c>
      <c r="F13" s="6" t="s">
        <v>182</v>
      </c>
    </row>
    <row r="14" spans="1:10" x14ac:dyDescent="0.2">
      <c r="A14" s="7" t="s">
        <v>52</v>
      </c>
      <c r="B14" s="7" t="s">
        <v>19</v>
      </c>
      <c r="D14" s="8" t="s">
        <v>118</v>
      </c>
      <c r="E14" s="8" t="s">
        <v>190</v>
      </c>
      <c r="F14" s="7" t="s">
        <v>183</v>
      </c>
    </row>
    <row r="15" spans="1:10" x14ac:dyDescent="0.2">
      <c r="A15" s="7" t="s">
        <v>53</v>
      </c>
      <c r="B15" s="7" t="s">
        <v>21</v>
      </c>
      <c r="D15" s="8" t="s">
        <v>119</v>
      </c>
      <c r="E15" s="8" t="s">
        <v>94</v>
      </c>
      <c r="F15" s="7" t="s">
        <v>184</v>
      </c>
    </row>
    <row r="16" spans="1:10" x14ac:dyDescent="0.2">
      <c r="A16" s="7" t="s">
        <v>54</v>
      </c>
      <c r="B16" s="7" t="s">
        <v>69</v>
      </c>
      <c r="D16" s="8" t="s">
        <v>120</v>
      </c>
      <c r="E16" s="8" t="s">
        <v>139</v>
      </c>
      <c r="F16"/>
    </row>
    <row r="17" spans="1:5" x14ac:dyDescent="0.2">
      <c r="A17" s="7" t="s">
        <v>55</v>
      </c>
      <c r="B17" s="7" t="s">
        <v>22</v>
      </c>
      <c r="D17" s="8" t="s">
        <v>121</v>
      </c>
      <c r="E17" s="8" t="s">
        <v>140</v>
      </c>
    </row>
    <row r="18" spans="1:5" x14ac:dyDescent="0.2">
      <c r="A18" s="7" t="s">
        <v>56</v>
      </c>
      <c r="B18" s="7" t="s">
        <v>23</v>
      </c>
      <c r="D18" s="8" t="s">
        <v>122</v>
      </c>
      <c r="E18" s="8" t="s">
        <v>141</v>
      </c>
    </row>
    <row r="19" spans="1:5" x14ac:dyDescent="0.2">
      <c r="A19" s="7" t="s">
        <v>57</v>
      </c>
      <c r="B19" s="7" t="s">
        <v>24</v>
      </c>
      <c r="D19" s="8" t="s">
        <v>123</v>
      </c>
      <c r="E19" s="8" t="s">
        <v>95</v>
      </c>
    </row>
    <row r="20" spans="1:5" x14ac:dyDescent="0.2">
      <c r="A20" s="7" t="s">
        <v>58</v>
      </c>
      <c r="B20" s="7" t="s">
        <v>25</v>
      </c>
      <c r="D20" s="8" t="s">
        <v>124</v>
      </c>
      <c r="E20" s="8" t="s">
        <v>96</v>
      </c>
    </row>
    <row r="21" spans="1:5" x14ac:dyDescent="0.2">
      <c r="A21" s="7" t="s">
        <v>59</v>
      </c>
      <c r="B21" s="7" t="s">
        <v>26</v>
      </c>
      <c r="D21" s="8" t="s">
        <v>125</v>
      </c>
      <c r="E21" s="8" t="s">
        <v>105</v>
      </c>
    </row>
    <row r="22" spans="1:5" x14ac:dyDescent="0.2">
      <c r="A22" s="7" t="s">
        <v>60</v>
      </c>
      <c r="B22" s="7" t="s">
        <v>27</v>
      </c>
      <c r="D22" s="8" t="s">
        <v>126</v>
      </c>
      <c r="E22" s="8" t="s">
        <v>142</v>
      </c>
    </row>
    <row r="23" spans="1:5" x14ac:dyDescent="0.2">
      <c r="A23" s="7" t="s">
        <v>61</v>
      </c>
      <c r="B23" s="7" t="s">
        <v>28</v>
      </c>
      <c r="D23" s="8" t="s">
        <v>127</v>
      </c>
      <c r="E23" s="8" t="s">
        <v>143</v>
      </c>
    </row>
    <row r="24" spans="1:5" x14ac:dyDescent="0.2">
      <c r="A24" s="7" t="s">
        <v>62</v>
      </c>
      <c r="B24" s="7" t="s">
        <v>29</v>
      </c>
      <c r="D24" s="8" t="s">
        <v>144</v>
      </c>
      <c r="E24" s="8" t="s">
        <v>106</v>
      </c>
    </row>
    <row r="25" spans="1:5" x14ac:dyDescent="0.2">
      <c r="A25" s="7" t="s">
        <v>63</v>
      </c>
      <c r="B25" s="7" t="s">
        <v>30</v>
      </c>
      <c r="D25" s="8" t="s">
        <v>128</v>
      </c>
      <c r="E25" s="8" t="s">
        <v>97</v>
      </c>
    </row>
    <row r="26" spans="1:5" x14ac:dyDescent="0.2">
      <c r="A26" s="7" t="s">
        <v>64</v>
      </c>
      <c r="B26" s="7" t="s">
        <v>31</v>
      </c>
      <c r="D26" s="8" t="s">
        <v>129</v>
      </c>
      <c r="E26" s="8" t="s">
        <v>145</v>
      </c>
    </row>
    <row r="27" spans="1:5" x14ac:dyDescent="0.2">
      <c r="A27" s="7" t="s">
        <v>65</v>
      </c>
      <c r="B27" s="7" t="s">
        <v>20</v>
      </c>
      <c r="D27" s="8" t="s">
        <v>130</v>
      </c>
      <c r="E27" s="8" t="s">
        <v>107</v>
      </c>
    </row>
    <row r="28" spans="1:5" x14ac:dyDescent="0.2">
      <c r="A28" s="7" t="s">
        <v>66</v>
      </c>
      <c r="B28" s="7" t="s">
        <v>32</v>
      </c>
      <c r="D28" s="8" t="s">
        <v>131</v>
      </c>
      <c r="E28" s="8" t="s">
        <v>98</v>
      </c>
    </row>
    <row r="29" spans="1:5" x14ac:dyDescent="0.2">
      <c r="A29" s="7" t="s">
        <v>67</v>
      </c>
      <c r="B29" s="7" t="s">
        <v>33</v>
      </c>
      <c r="D29" s="8" t="s">
        <v>132</v>
      </c>
      <c r="E29" s="8" t="s">
        <v>99</v>
      </c>
    </row>
    <row r="30" spans="1:5" x14ac:dyDescent="0.2">
      <c r="A30" s="7" t="s">
        <v>73</v>
      </c>
      <c r="B30" s="7" t="s">
        <v>68</v>
      </c>
      <c r="D30" s="8" t="s">
        <v>133</v>
      </c>
      <c r="E30" s="8" t="s">
        <v>100</v>
      </c>
    </row>
    <row r="31" spans="1:5" x14ac:dyDescent="0.2">
      <c r="A31" s="7" t="s">
        <v>74</v>
      </c>
      <c r="B31" s="7" t="s">
        <v>70</v>
      </c>
      <c r="D31" s="8" t="s">
        <v>134</v>
      </c>
      <c r="E31" s="8" t="s">
        <v>101</v>
      </c>
    </row>
    <row r="32" spans="1:5" x14ac:dyDescent="0.2">
      <c r="A32" s="7" t="s">
        <v>75</v>
      </c>
      <c r="B32" s="7" t="s">
        <v>71</v>
      </c>
      <c r="D32" s="8" t="s">
        <v>135</v>
      </c>
      <c r="E32" s="8" t="s">
        <v>102</v>
      </c>
    </row>
    <row r="33" spans="1:5" x14ac:dyDescent="0.2">
      <c r="A33" s="7" t="s">
        <v>76</v>
      </c>
      <c r="B33" s="7" t="s">
        <v>72</v>
      </c>
      <c r="D33" s="8" t="s">
        <v>136</v>
      </c>
      <c r="E33" s="8" t="s">
        <v>103</v>
      </c>
    </row>
    <row r="34" spans="1:5" x14ac:dyDescent="0.2">
      <c r="A34" s="7" t="s">
        <v>77</v>
      </c>
      <c r="B34" s="7" t="s">
        <v>34</v>
      </c>
      <c r="D34" s="6" t="s">
        <v>302</v>
      </c>
      <c r="E34" s="6" t="s">
        <v>302</v>
      </c>
    </row>
    <row r="35" spans="1:5" x14ac:dyDescent="0.2">
      <c r="A35" s="7" t="s">
        <v>78</v>
      </c>
      <c r="B35" s="7" t="s">
        <v>35</v>
      </c>
      <c r="D35" s="8" t="s">
        <v>303</v>
      </c>
      <c r="E35" s="8" t="s">
        <v>285</v>
      </c>
    </row>
    <row r="36" spans="1:5" x14ac:dyDescent="0.2">
      <c r="A36" s="7" t="s">
        <v>79</v>
      </c>
      <c r="B36" s="7" t="s">
        <v>36</v>
      </c>
      <c r="D36" s="8" t="s">
        <v>304</v>
      </c>
      <c r="E36" s="8" t="s">
        <v>286</v>
      </c>
    </row>
    <row r="37" spans="1:5" x14ac:dyDescent="0.2">
      <c r="A37" s="7" t="s">
        <v>80</v>
      </c>
      <c r="B37" s="7" t="s">
        <v>37</v>
      </c>
      <c r="D37" s="8" t="s">
        <v>305</v>
      </c>
      <c r="E37" s="8" t="s">
        <v>287</v>
      </c>
    </row>
    <row r="38" spans="1:5" x14ac:dyDescent="0.2">
      <c r="A38" s="7" t="s">
        <v>81</v>
      </c>
      <c r="B38" s="7" t="s">
        <v>38</v>
      </c>
      <c r="D38" s="8" t="s">
        <v>306</v>
      </c>
      <c r="E38" s="8" t="s">
        <v>288</v>
      </c>
    </row>
    <row r="39" spans="1:5" x14ac:dyDescent="0.2">
      <c r="A39" s="7" t="s">
        <v>82</v>
      </c>
      <c r="B39" s="7" t="s">
        <v>39</v>
      </c>
      <c r="D39" s="8" t="s">
        <v>307</v>
      </c>
      <c r="E39" s="8" t="s">
        <v>289</v>
      </c>
    </row>
    <row r="40" spans="1:5" x14ac:dyDescent="0.2">
      <c r="A40" s="7" t="s">
        <v>83</v>
      </c>
      <c r="B40" s="7" t="s">
        <v>40</v>
      </c>
      <c r="D40" s="8" t="s">
        <v>308</v>
      </c>
      <c r="E40" s="8" t="s">
        <v>290</v>
      </c>
    </row>
    <row r="41" spans="1:5" x14ac:dyDescent="0.2">
      <c r="A41" s="7" t="s">
        <v>84</v>
      </c>
      <c r="B41" s="7" t="s">
        <v>41</v>
      </c>
      <c r="D41" s="8" t="s">
        <v>309</v>
      </c>
      <c r="E41" s="8" t="s">
        <v>291</v>
      </c>
    </row>
    <row r="42" spans="1:5" x14ac:dyDescent="0.2">
      <c r="A42" s="7" t="s">
        <v>85</v>
      </c>
      <c r="B42" s="7" t="s">
        <v>42</v>
      </c>
      <c r="D42" s="8" t="s">
        <v>310</v>
      </c>
      <c r="E42" s="8" t="s">
        <v>292</v>
      </c>
    </row>
    <row r="43" spans="1:5" x14ac:dyDescent="0.2">
      <c r="D43" s="8" t="s">
        <v>311</v>
      </c>
      <c r="E43" s="8" t="s">
        <v>293</v>
      </c>
    </row>
    <row r="44" spans="1:5" x14ac:dyDescent="0.2">
      <c r="D44" s="8" t="s">
        <v>312</v>
      </c>
      <c r="E44" s="8" t="s">
        <v>294</v>
      </c>
    </row>
    <row r="45" spans="1:5" x14ac:dyDescent="0.2">
      <c r="D45" s="8" t="s">
        <v>313</v>
      </c>
      <c r="E45" s="8" t="s">
        <v>295</v>
      </c>
    </row>
    <row r="46" spans="1:5" x14ac:dyDescent="0.2">
      <c r="D46" s="8" t="s">
        <v>314</v>
      </c>
      <c r="E46" s="8" t="s">
        <v>296</v>
      </c>
    </row>
    <row r="47" spans="1:5" x14ac:dyDescent="0.2">
      <c r="D47" s="8" t="s">
        <v>315</v>
      </c>
      <c r="E47" s="8" t="s">
        <v>297</v>
      </c>
    </row>
    <row r="48" spans="1:5" x14ac:dyDescent="0.2">
      <c r="D48" s="8" t="s">
        <v>316</v>
      </c>
      <c r="E48" s="8" t="s">
        <v>298</v>
      </c>
    </row>
    <row r="49" spans="4:5" x14ac:dyDescent="0.2">
      <c r="D49" s="8" t="s">
        <v>317</v>
      </c>
      <c r="E49" s="8" t="s">
        <v>299</v>
      </c>
    </row>
    <row r="50" spans="4:5" x14ac:dyDescent="0.2">
      <c r="D50" s="8" t="s">
        <v>270</v>
      </c>
      <c r="E50" s="8" t="s">
        <v>300</v>
      </c>
    </row>
    <row r="51" spans="4:5" x14ac:dyDescent="0.2">
      <c r="D51" s="8" t="s">
        <v>318</v>
      </c>
      <c r="E51" s="8" t="s">
        <v>301</v>
      </c>
    </row>
  </sheetData>
  <dataConsolidate/>
  <phoneticPr fontId="1" type="noConversion"/>
  <conditionalFormatting sqref="B44:C1048576">
    <cfRule type="duplicateValues" dxfId="99" priority="16"/>
  </conditionalFormatting>
  <conditionalFormatting sqref="B1:C42">
    <cfRule type="duplicateValues" dxfId="98" priority="3"/>
  </conditionalFormatting>
  <conditionalFormatting sqref="B43:C43">
    <cfRule type="duplicateValues" dxfId="97"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AEE62-82E6-45CE-95B9-FA9CCA33E5AE}">
  <sheetPr codeName="Sheet3"/>
  <dimension ref="A1:AN114"/>
  <sheetViews>
    <sheetView workbookViewId="0">
      <pane xSplit="2" ySplit="2" topLeftCell="AA66" activePane="bottomRight" state="frozen"/>
      <selection pane="topRight" activeCell="C1" sqref="C1"/>
      <selection pane="bottomLeft" activeCell="A3" sqref="A3"/>
      <selection pane="bottomRight" activeCell="AF79" sqref="AF79"/>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282</v>
      </c>
      <c r="M1" s="6" t="s">
        <v>4</v>
      </c>
      <c r="N1" s="6" t="s">
        <v>279</v>
      </c>
      <c r="O1" s="6" t="s">
        <v>205</v>
      </c>
      <c r="P1" s="6" t="s">
        <v>207</v>
      </c>
      <c r="Q1" s="6" t="s">
        <v>352</v>
      </c>
      <c r="R1" s="6" t="s">
        <v>168</v>
      </c>
      <c r="S1" s="6" t="s">
        <v>185</v>
      </c>
      <c r="T1" s="6" t="s">
        <v>191</v>
      </c>
      <c r="U1" s="6" t="s">
        <v>186</v>
      </c>
      <c r="V1" s="6" t="s">
        <v>187</v>
      </c>
      <c r="W1" s="6" t="s">
        <v>188</v>
      </c>
      <c r="X1" s="6" t="s">
        <v>189</v>
      </c>
      <c r="Y1" s="6" t="s">
        <v>192</v>
      </c>
      <c r="Z1" s="6" t="s">
        <v>193</v>
      </c>
      <c r="AA1" s="6" t="s">
        <v>208</v>
      </c>
      <c r="AB1" s="6" t="s">
        <v>351</v>
      </c>
      <c r="AC1" s="6" t="s">
        <v>349</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336</v>
      </c>
      <c r="J2" s="6" t="s">
        <v>223</v>
      </c>
      <c r="K2" s="6" t="s">
        <v>226</v>
      </c>
      <c r="L2" s="6" t="s">
        <v>281</v>
      </c>
      <c r="M2" s="6" t="s">
        <v>1</v>
      </c>
      <c r="N2" s="6" t="s">
        <v>278</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350</v>
      </c>
      <c r="AC2" s="6" t="s">
        <v>348</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337</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337</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337</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337</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 t="shared" ref="D11" si="3">"abilities/items/"&amp;I11&amp;"/item_clarity"</f>
        <v>abilities/items/consumable/item_clarity</v>
      </c>
      <c r="E11" s="4"/>
      <c r="F11" s="9" t="s">
        <v>265</v>
      </c>
      <c r="G11" s="9"/>
      <c r="H11" s="9" t="s">
        <v>229</v>
      </c>
      <c r="I11" s="3" t="s">
        <v>337</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 si="4">"abilities/items/"&amp;I13&amp;"/item_clarity"</f>
        <v>abilities/items/consumable/item_clarity</v>
      </c>
      <c r="E13" s="4"/>
      <c r="F13" s="9" t="s">
        <v>265</v>
      </c>
      <c r="G13" s="9"/>
      <c r="H13" s="9" t="s">
        <v>255</v>
      </c>
      <c r="I13" s="3" t="s">
        <v>337</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 si="5">"abilities/items/"&amp;I15&amp;"/item_clarity"</f>
        <v>abilities/items/consumable/item_clarity</v>
      </c>
      <c r="E15" s="4"/>
      <c r="F15" s="9" t="s">
        <v>265</v>
      </c>
      <c r="G15" s="9"/>
      <c r="H15" s="9" t="s">
        <v>256</v>
      </c>
      <c r="I15" s="3" t="s">
        <v>337</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6">"abilities/items/"&amp;I17&amp;"/item_clarity"</f>
        <v>abilities/items/consumable/item_clarity</v>
      </c>
      <c r="E17" s="4"/>
      <c r="F17" s="9" t="s">
        <v>265</v>
      </c>
      <c r="G17" s="9"/>
      <c r="H17" s="9" t="s">
        <v>257</v>
      </c>
      <c r="I17" s="3" t="s">
        <v>337</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t="str">
        <f t="shared" ref="D19" si="7">"abilities/items/"&amp;I19&amp;"/item_clarity"</f>
        <v>abilities/items/consumable/item_clarity</v>
      </c>
      <c r="E19" s="4"/>
      <c r="F19" s="9" t="s">
        <v>265</v>
      </c>
      <c r="G19" s="9"/>
      <c r="H19" s="9" t="s">
        <v>232</v>
      </c>
      <c r="I19" s="3" t="s">
        <v>337</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t="str">
        <f t="shared" ref="D21" si="8">"abilities/items/"&amp;I21&amp;"/item_clarity"</f>
        <v>abilities/items/consumable/item_clarity</v>
      </c>
      <c r="E21" s="4"/>
      <c r="F21" s="9" t="s">
        <v>265</v>
      </c>
      <c r="G21" s="9"/>
      <c r="H21" s="9" t="s">
        <v>234</v>
      </c>
      <c r="I21" s="3" t="s">
        <v>337</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337</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337</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337</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337</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337</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337</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337</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337</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337</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271</v>
      </c>
      <c r="B41" s="9"/>
      <c r="C41" s="9" t="s">
        <v>203</v>
      </c>
      <c r="D41" s="4" t="str">
        <f>"abilities/items/"&amp;I41&amp;"/item_jian"</f>
        <v>abilities/items/weapon/item_jian</v>
      </c>
      <c r="E41" s="9"/>
      <c r="F41" s="9"/>
      <c r="G41" s="9"/>
      <c r="H41" s="9" t="s">
        <v>271</v>
      </c>
      <c r="I41" s="9" t="s">
        <v>338</v>
      </c>
      <c r="J41" s="9" t="s">
        <v>274</v>
      </c>
      <c r="K41" s="9" t="s">
        <v>275</v>
      </c>
      <c r="L41" s="9" t="s">
        <v>283</v>
      </c>
      <c r="M41" s="9" t="s">
        <v>0</v>
      </c>
      <c r="N41" s="9" t="s">
        <v>280</v>
      </c>
      <c r="O41" s="9" t="s">
        <v>277</v>
      </c>
      <c r="P41" s="9"/>
      <c r="Q41" s="9"/>
      <c r="R41" s="9"/>
      <c r="S41" s="9"/>
      <c r="T41" s="9">
        <v>1500</v>
      </c>
      <c r="U41" s="9"/>
      <c r="V41" s="9"/>
      <c r="W41" s="9"/>
      <c r="X41" s="9"/>
      <c r="Y41" s="9"/>
      <c r="Z41" s="9"/>
      <c r="AA41" s="9"/>
      <c r="AB41" s="9"/>
      <c r="AC41" s="9"/>
      <c r="AD41" s="10" t="s">
        <v>339</v>
      </c>
      <c r="AE41" s="10" t="s">
        <v>340</v>
      </c>
      <c r="AF41" s="10" t="s">
        <v>341</v>
      </c>
      <c r="AG41" s="10" t="s">
        <v>319</v>
      </c>
      <c r="AH41" s="10" t="s">
        <v>284</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324</v>
      </c>
      <c r="B43" s="9"/>
      <c r="C43" s="9" t="s">
        <v>203</v>
      </c>
      <c r="D43" s="4" t="str">
        <f t="shared" ref="D43" si="9">"abilities/items/"&amp;I43&amp;"/item_jian"</f>
        <v>abilities/items/weapon/item_jian</v>
      </c>
      <c r="E43" s="9"/>
      <c r="F43" s="9"/>
      <c r="G43" s="9"/>
      <c r="H43" s="9" t="s">
        <v>324</v>
      </c>
      <c r="I43" s="9" t="s">
        <v>338</v>
      </c>
      <c r="J43" s="9" t="s">
        <v>274</v>
      </c>
      <c r="K43" s="9" t="s">
        <v>275</v>
      </c>
      <c r="L43" s="9" t="s">
        <v>283</v>
      </c>
      <c r="M43" s="9" t="s">
        <v>0</v>
      </c>
      <c r="N43" s="9" t="s">
        <v>280</v>
      </c>
      <c r="O43" s="9" t="s">
        <v>277</v>
      </c>
      <c r="P43" s="9"/>
      <c r="Q43" s="9"/>
      <c r="R43" s="9"/>
      <c r="S43" s="9"/>
      <c r="T43" s="9">
        <v>4500</v>
      </c>
      <c r="U43" s="9"/>
      <c r="V43" s="9"/>
      <c r="W43" s="9"/>
      <c r="X43" s="9"/>
      <c r="Y43" s="9"/>
      <c r="Z43" s="9"/>
      <c r="AA43" s="9"/>
      <c r="AB43" s="9"/>
      <c r="AC43" s="9"/>
      <c r="AD43" s="10" t="s">
        <v>339</v>
      </c>
      <c r="AE43" s="10" t="s">
        <v>340</v>
      </c>
      <c r="AF43" s="10" t="s">
        <v>341</v>
      </c>
      <c r="AG43" s="10" t="s">
        <v>319</v>
      </c>
      <c r="AH43" s="10" t="s">
        <v>284</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325</v>
      </c>
      <c r="B45" s="9"/>
      <c r="C45" s="9" t="s">
        <v>203</v>
      </c>
      <c r="D45" s="4" t="str">
        <f t="shared" ref="D45" si="10">"abilities/items/"&amp;I45&amp;"/item_jian"</f>
        <v>abilities/items/weapon/item_jian</v>
      </c>
      <c r="E45" s="9"/>
      <c r="F45" s="9"/>
      <c r="G45" s="9"/>
      <c r="H45" s="9" t="s">
        <v>325</v>
      </c>
      <c r="I45" s="9" t="s">
        <v>338</v>
      </c>
      <c r="J45" s="9" t="s">
        <v>274</v>
      </c>
      <c r="K45" s="9" t="s">
        <v>275</v>
      </c>
      <c r="L45" s="9" t="s">
        <v>283</v>
      </c>
      <c r="M45" s="9" t="s">
        <v>0</v>
      </c>
      <c r="N45" s="9" t="s">
        <v>280</v>
      </c>
      <c r="O45" s="9" t="s">
        <v>277</v>
      </c>
      <c r="P45" s="9"/>
      <c r="Q45" s="9"/>
      <c r="R45" s="9"/>
      <c r="S45" s="9"/>
      <c r="T45" s="9">
        <v>10500</v>
      </c>
      <c r="U45" s="9"/>
      <c r="V45" s="9"/>
      <c r="W45" s="9"/>
      <c r="X45" s="9"/>
      <c r="Y45" s="9"/>
      <c r="Z45" s="9"/>
      <c r="AA45" s="9"/>
      <c r="AB45" s="9"/>
      <c r="AC45" s="9"/>
      <c r="AD45" s="10" t="s">
        <v>339</v>
      </c>
      <c r="AE45" s="10" t="s">
        <v>340</v>
      </c>
      <c r="AF45" s="10" t="s">
        <v>341</v>
      </c>
      <c r="AG45" s="10" t="s">
        <v>319</v>
      </c>
      <c r="AH45" s="10" t="s">
        <v>284</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326</v>
      </c>
      <c r="B47" s="9"/>
      <c r="C47" s="9" t="s">
        <v>203</v>
      </c>
      <c r="D47" s="4" t="str">
        <f t="shared" ref="D47" si="11">"abilities/items/"&amp;I47&amp;"/item_jian"</f>
        <v>abilities/items/weapon/item_jian</v>
      </c>
      <c r="E47" s="9"/>
      <c r="F47" s="9"/>
      <c r="G47" s="9"/>
      <c r="H47" s="9" t="s">
        <v>326</v>
      </c>
      <c r="I47" s="9" t="s">
        <v>338</v>
      </c>
      <c r="J47" s="9" t="s">
        <v>274</v>
      </c>
      <c r="K47" s="9" t="s">
        <v>275</v>
      </c>
      <c r="L47" s="9" t="s">
        <v>283</v>
      </c>
      <c r="M47" s="9" t="s">
        <v>0</v>
      </c>
      <c r="N47" s="9" t="s">
        <v>280</v>
      </c>
      <c r="O47" s="9" t="s">
        <v>277</v>
      </c>
      <c r="P47" s="9"/>
      <c r="Q47" s="9"/>
      <c r="R47" s="9"/>
      <c r="S47" s="9"/>
      <c r="T47" s="9">
        <v>22500</v>
      </c>
      <c r="U47" s="9"/>
      <c r="V47" s="9"/>
      <c r="W47" s="9"/>
      <c r="X47" s="9"/>
      <c r="Y47" s="9"/>
      <c r="Z47" s="9"/>
      <c r="AA47" s="9"/>
      <c r="AB47" s="9"/>
      <c r="AC47" s="9"/>
      <c r="AD47" s="10" t="s">
        <v>339</v>
      </c>
      <c r="AE47" s="10" t="s">
        <v>340</v>
      </c>
      <c r="AF47" s="10" t="s">
        <v>341</v>
      </c>
      <c r="AG47" s="10" t="s">
        <v>319</v>
      </c>
      <c r="AH47" s="10" t="s">
        <v>284</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327</v>
      </c>
      <c r="B49" s="9"/>
      <c r="C49" s="9" t="s">
        <v>203</v>
      </c>
      <c r="D49" s="4" t="str">
        <f t="shared" ref="D49" si="12">"abilities/items/"&amp;I49&amp;"/item_jian"</f>
        <v>abilities/items/weapon/item_jian</v>
      </c>
      <c r="E49" s="9"/>
      <c r="F49" s="9"/>
      <c r="G49" s="9"/>
      <c r="H49" s="9" t="s">
        <v>327</v>
      </c>
      <c r="I49" s="9" t="s">
        <v>338</v>
      </c>
      <c r="J49" s="9" t="s">
        <v>274</v>
      </c>
      <c r="K49" s="9" t="s">
        <v>275</v>
      </c>
      <c r="L49" s="9" t="s">
        <v>283</v>
      </c>
      <c r="M49" s="9" t="s">
        <v>0</v>
      </c>
      <c r="N49" s="9" t="s">
        <v>280</v>
      </c>
      <c r="O49" s="9" t="s">
        <v>277</v>
      </c>
      <c r="P49" s="9"/>
      <c r="Q49" s="9"/>
      <c r="R49" s="9"/>
      <c r="S49" s="9"/>
      <c r="T49" s="9">
        <v>46500</v>
      </c>
      <c r="U49" s="9"/>
      <c r="V49" s="9"/>
      <c r="W49" s="9"/>
      <c r="X49" s="9"/>
      <c r="Y49" s="9"/>
      <c r="Z49" s="9"/>
      <c r="AA49" s="9"/>
      <c r="AB49" s="9"/>
      <c r="AC49" s="9"/>
      <c r="AD49" s="10" t="s">
        <v>339</v>
      </c>
      <c r="AE49" s="10" t="s">
        <v>340</v>
      </c>
      <c r="AF49" s="10" t="s">
        <v>341</v>
      </c>
      <c r="AG49" s="10" t="s">
        <v>319</v>
      </c>
      <c r="AH49" s="10" t="s">
        <v>284</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354</v>
      </c>
      <c r="B51" s="9"/>
      <c r="C51" s="9" t="s">
        <v>203</v>
      </c>
      <c r="D51" s="4" t="str">
        <f t="shared" ref="D51" si="13">"abilities/items/"&amp;I51&amp;"/item_jian"</f>
        <v>abilities/items/weapon/item_jian</v>
      </c>
      <c r="E51" s="9"/>
      <c r="F51" s="9"/>
      <c r="G51" s="9"/>
      <c r="H51" s="9" t="s">
        <v>354</v>
      </c>
      <c r="I51" s="9" t="s">
        <v>338</v>
      </c>
      <c r="J51" s="9" t="s">
        <v>274</v>
      </c>
      <c r="K51" s="9" t="s">
        <v>275</v>
      </c>
      <c r="L51" s="9" t="s">
        <v>283</v>
      </c>
      <c r="M51" s="9" t="s">
        <v>0</v>
      </c>
      <c r="N51" s="9" t="s">
        <v>280</v>
      </c>
      <c r="O51" s="9" t="s">
        <v>277</v>
      </c>
      <c r="P51" s="9"/>
      <c r="Q51" s="9"/>
      <c r="R51" s="9"/>
      <c r="S51" s="9"/>
      <c r="T51" s="9"/>
      <c r="U51" s="9"/>
      <c r="V51" s="9"/>
      <c r="W51" s="9"/>
      <c r="X51" s="9"/>
      <c r="Y51" s="9"/>
      <c r="Z51" s="9"/>
      <c r="AA51" s="9"/>
      <c r="AB51" s="9"/>
      <c r="AC51" s="9"/>
      <c r="AD51" s="10" t="s">
        <v>339</v>
      </c>
      <c r="AE51" s="10" t="s">
        <v>340</v>
      </c>
      <c r="AF51" s="10" t="s">
        <v>341</v>
      </c>
      <c r="AG51" s="10" t="s">
        <v>319</v>
      </c>
      <c r="AH51" s="10" t="s">
        <v>284</v>
      </c>
      <c r="AI51" s="10" t="s">
        <v>374</v>
      </c>
      <c r="AJ51" s="10" t="s">
        <v>376</v>
      </c>
      <c r="AK51" s="10" t="s">
        <v>347</v>
      </c>
      <c r="AL51" s="10" t="s">
        <v>346</v>
      </c>
      <c r="AM51" s="10" t="s">
        <v>375</v>
      </c>
      <c r="AN51" s="10" t="s">
        <v>345</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355</v>
      </c>
      <c r="B53" s="9"/>
      <c r="C53" s="9" t="s">
        <v>203</v>
      </c>
      <c r="D53" s="4" t="str">
        <f t="shared" ref="D53" si="14">"abilities/items/"&amp;I53&amp;"/item_jian"</f>
        <v>abilities/items/weapon/item_jian</v>
      </c>
      <c r="E53" s="9"/>
      <c r="F53" s="9"/>
      <c r="G53" s="9"/>
      <c r="H53" s="9" t="s">
        <v>355</v>
      </c>
      <c r="I53" s="9" t="s">
        <v>338</v>
      </c>
      <c r="J53" s="9" t="s">
        <v>274</v>
      </c>
      <c r="K53" s="9" t="s">
        <v>275</v>
      </c>
      <c r="L53" s="9" t="s">
        <v>283</v>
      </c>
      <c r="M53" s="9" t="s">
        <v>0</v>
      </c>
      <c r="N53" s="9" t="s">
        <v>280</v>
      </c>
      <c r="O53" s="9" t="s">
        <v>277</v>
      </c>
      <c r="P53" s="9"/>
      <c r="Q53" s="9"/>
      <c r="R53" s="9"/>
      <c r="S53" s="9"/>
      <c r="T53" s="9"/>
      <c r="U53" s="9"/>
      <c r="V53" s="9"/>
      <c r="W53" s="9"/>
      <c r="X53" s="9"/>
      <c r="Y53" s="9"/>
      <c r="Z53" s="9"/>
      <c r="AA53" s="9"/>
      <c r="AB53" s="9"/>
      <c r="AC53" s="9"/>
      <c r="AD53" s="10" t="s">
        <v>339</v>
      </c>
      <c r="AE53" s="10" t="s">
        <v>340</v>
      </c>
      <c r="AF53" s="10" t="s">
        <v>341</v>
      </c>
      <c r="AG53" s="10" t="s">
        <v>319</v>
      </c>
      <c r="AH53" s="10" t="s">
        <v>284</v>
      </c>
      <c r="AI53" s="10" t="s">
        <v>374</v>
      </c>
      <c r="AJ53" s="10" t="s">
        <v>376</v>
      </c>
      <c r="AK53" s="10" t="s">
        <v>347</v>
      </c>
      <c r="AL53" s="10" t="s">
        <v>346</v>
      </c>
      <c r="AM53" s="10" t="s">
        <v>375</v>
      </c>
      <c r="AN53" s="10" t="s">
        <v>345</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356</v>
      </c>
      <c r="B55" s="9"/>
      <c r="C55" s="9" t="s">
        <v>203</v>
      </c>
      <c r="D55" s="4" t="str">
        <f t="shared" ref="D55" si="15">"abilities/items/"&amp;I55&amp;"/item_jian"</f>
        <v>abilities/items/weapon/item_jian</v>
      </c>
      <c r="E55" s="9"/>
      <c r="F55" s="9"/>
      <c r="G55" s="9"/>
      <c r="H55" s="9" t="s">
        <v>356</v>
      </c>
      <c r="I55" s="9" t="s">
        <v>338</v>
      </c>
      <c r="J55" s="9" t="s">
        <v>274</v>
      </c>
      <c r="K55" s="9" t="s">
        <v>275</v>
      </c>
      <c r="L55" s="9" t="s">
        <v>283</v>
      </c>
      <c r="M55" s="9" t="s">
        <v>0</v>
      </c>
      <c r="N55" s="9" t="s">
        <v>280</v>
      </c>
      <c r="O55" s="9" t="s">
        <v>277</v>
      </c>
      <c r="P55" s="9"/>
      <c r="Q55" s="9"/>
      <c r="R55" s="9"/>
      <c r="S55" s="9"/>
      <c r="T55" s="9"/>
      <c r="U55" s="9"/>
      <c r="V55" s="9"/>
      <c r="W55" s="9"/>
      <c r="X55" s="9"/>
      <c r="Y55" s="9"/>
      <c r="Z55" s="9"/>
      <c r="AA55" s="9"/>
      <c r="AB55" s="9"/>
      <c r="AC55" s="9"/>
      <c r="AD55" s="10" t="s">
        <v>339</v>
      </c>
      <c r="AE55" s="10" t="s">
        <v>340</v>
      </c>
      <c r="AF55" s="10" t="s">
        <v>341</v>
      </c>
      <c r="AG55" s="10" t="s">
        <v>319</v>
      </c>
      <c r="AH55" s="10" t="s">
        <v>284</v>
      </c>
      <c r="AI55" s="10" t="s">
        <v>374</v>
      </c>
      <c r="AJ55" s="10" t="s">
        <v>376</v>
      </c>
      <c r="AK55" s="10" t="s">
        <v>347</v>
      </c>
      <c r="AL55" s="10" t="s">
        <v>346</v>
      </c>
      <c r="AM55" s="10" t="s">
        <v>375</v>
      </c>
      <c r="AN55" s="10" t="s">
        <v>345</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357</v>
      </c>
      <c r="B57" s="9"/>
      <c r="C57" s="9" t="s">
        <v>203</v>
      </c>
      <c r="D57" s="4" t="str">
        <f t="shared" ref="D57" si="16">"abilities/items/"&amp;I57&amp;"/item_jian"</f>
        <v>abilities/items/weapon/item_jian</v>
      </c>
      <c r="E57" s="9"/>
      <c r="F57" s="9"/>
      <c r="G57" s="9"/>
      <c r="H57" s="9" t="s">
        <v>357</v>
      </c>
      <c r="I57" s="9" t="s">
        <v>338</v>
      </c>
      <c r="J57" s="9" t="s">
        <v>274</v>
      </c>
      <c r="K57" s="9" t="s">
        <v>275</v>
      </c>
      <c r="L57" s="9" t="s">
        <v>283</v>
      </c>
      <c r="M57" s="9" t="s">
        <v>0</v>
      </c>
      <c r="N57" s="9" t="s">
        <v>280</v>
      </c>
      <c r="O57" s="9" t="s">
        <v>277</v>
      </c>
      <c r="P57" s="9"/>
      <c r="Q57" s="9"/>
      <c r="R57" s="9"/>
      <c r="S57" s="9"/>
      <c r="T57" s="9"/>
      <c r="U57" s="9"/>
      <c r="V57" s="9"/>
      <c r="W57" s="9"/>
      <c r="X57" s="9"/>
      <c r="Y57" s="9"/>
      <c r="Z57" s="9"/>
      <c r="AA57" s="9"/>
      <c r="AB57" s="9"/>
      <c r="AC57" s="9"/>
      <c r="AD57" s="10" t="s">
        <v>339</v>
      </c>
      <c r="AE57" s="10" t="s">
        <v>340</v>
      </c>
      <c r="AF57" s="10" t="s">
        <v>341</v>
      </c>
      <c r="AG57" s="10" t="s">
        <v>319</v>
      </c>
      <c r="AH57" s="10" t="s">
        <v>284</v>
      </c>
      <c r="AI57" s="10" t="s">
        <v>374</v>
      </c>
      <c r="AJ57" s="10" t="s">
        <v>376</v>
      </c>
      <c r="AK57" s="10" t="s">
        <v>347</v>
      </c>
      <c r="AL57" s="10" t="s">
        <v>346</v>
      </c>
      <c r="AM57" s="10" t="s">
        <v>375</v>
      </c>
      <c r="AN57" s="10" t="s">
        <v>345</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272</v>
      </c>
      <c r="B59" s="9"/>
      <c r="C59" s="9" t="s">
        <v>203</v>
      </c>
      <c r="D59" s="4" t="str">
        <f>"abilities/items/"&amp;I59&amp;"/item_fazhang"</f>
        <v>abilities/items/weapon/item_fazhang</v>
      </c>
      <c r="E59" s="9"/>
      <c r="F59" s="9"/>
      <c r="G59" s="9"/>
      <c r="H59" s="9" t="s">
        <v>272</v>
      </c>
      <c r="I59" s="9" t="s">
        <v>338</v>
      </c>
      <c r="J59" s="9" t="s">
        <v>274</v>
      </c>
      <c r="K59" s="9" t="s">
        <v>275</v>
      </c>
      <c r="L59" s="9" t="s">
        <v>283</v>
      </c>
      <c r="M59" s="9" t="s">
        <v>276</v>
      </c>
      <c r="N59" s="9" t="s">
        <v>280</v>
      </c>
      <c r="O59" s="9" t="s">
        <v>277</v>
      </c>
      <c r="P59" s="9"/>
      <c r="Q59" s="9" t="s">
        <v>353</v>
      </c>
      <c r="R59" s="9"/>
      <c r="S59" s="9"/>
      <c r="T59" s="9">
        <v>1500</v>
      </c>
      <c r="U59" s="9"/>
      <c r="V59" s="9"/>
      <c r="W59" s="9"/>
      <c r="X59" s="9"/>
      <c r="Y59" s="9"/>
      <c r="Z59" s="9"/>
      <c r="AA59" s="9"/>
      <c r="AB59" s="9"/>
      <c r="AC59" s="9">
        <v>30</v>
      </c>
      <c r="AD59" s="10" t="s">
        <v>339</v>
      </c>
      <c r="AE59" s="10" t="s">
        <v>340</v>
      </c>
      <c r="AF59" s="10" t="s">
        <v>342</v>
      </c>
      <c r="AG59" s="10" t="s">
        <v>322</v>
      </c>
      <c r="AH59" s="10" t="s">
        <v>321</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328</v>
      </c>
      <c r="B61" s="9"/>
      <c r="C61" s="9" t="s">
        <v>203</v>
      </c>
      <c r="D61" s="4" t="str">
        <f t="shared" ref="D61" si="17">"abilities/items/"&amp;I61&amp;"/item_fazhang"</f>
        <v>abilities/items/weapon/item_fazhang</v>
      </c>
      <c r="E61" s="9"/>
      <c r="F61" s="9"/>
      <c r="G61" s="9"/>
      <c r="H61" s="9" t="s">
        <v>328</v>
      </c>
      <c r="I61" s="9" t="s">
        <v>338</v>
      </c>
      <c r="J61" s="9" t="s">
        <v>274</v>
      </c>
      <c r="K61" s="9" t="s">
        <v>275</v>
      </c>
      <c r="L61" s="9" t="s">
        <v>283</v>
      </c>
      <c r="M61" s="9" t="s">
        <v>276</v>
      </c>
      <c r="N61" s="9" t="s">
        <v>280</v>
      </c>
      <c r="O61" s="9" t="s">
        <v>277</v>
      </c>
      <c r="P61" s="9"/>
      <c r="Q61" s="9" t="s">
        <v>353</v>
      </c>
      <c r="R61" s="9"/>
      <c r="S61" s="9"/>
      <c r="T61" s="9">
        <v>4500</v>
      </c>
      <c r="U61" s="9"/>
      <c r="V61" s="9"/>
      <c r="W61" s="9"/>
      <c r="X61" s="9"/>
      <c r="Y61" s="9"/>
      <c r="Z61" s="9"/>
      <c r="AA61" s="9"/>
      <c r="AB61" s="9"/>
      <c r="AC61" s="9">
        <v>30</v>
      </c>
      <c r="AD61" s="10" t="s">
        <v>339</v>
      </c>
      <c r="AE61" s="10" t="s">
        <v>340</v>
      </c>
      <c r="AF61" s="10" t="s">
        <v>342</v>
      </c>
      <c r="AG61" s="10" t="s">
        <v>322</v>
      </c>
      <c r="AH61" s="10" t="s">
        <v>321</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329</v>
      </c>
      <c r="B63" s="9"/>
      <c r="C63" s="9" t="s">
        <v>203</v>
      </c>
      <c r="D63" s="4" t="str">
        <f t="shared" ref="D63" si="18">"abilities/items/"&amp;I63&amp;"/item_fazhang"</f>
        <v>abilities/items/weapon/item_fazhang</v>
      </c>
      <c r="E63" s="9"/>
      <c r="F63" s="9"/>
      <c r="G63" s="9"/>
      <c r="H63" s="9" t="s">
        <v>329</v>
      </c>
      <c r="I63" s="9" t="s">
        <v>338</v>
      </c>
      <c r="J63" s="9" t="s">
        <v>274</v>
      </c>
      <c r="K63" s="9" t="s">
        <v>275</v>
      </c>
      <c r="L63" s="9" t="s">
        <v>283</v>
      </c>
      <c r="M63" s="9" t="s">
        <v>276</v>
      </c>
      <c r="N63" s="9" t="s">
        <v>280</v>
      </c>
      <c r="O63" s="9" t="s">
        <v>277</v>
      </c>
      <c r="P63" s="9"/>
      <c r="Q63" s="9" t="s">
        <v>353</v>
      </c>
      <c r="R63" s="9"/>
      <c r="S63" s="9"/>
      <c r="T63" s="9">
        <v>10500</v>
      </c>
      <c r="U63" s="9"/>
      <c r="V63" s="9"/>
      <c r="W63" s="9"/>
      <c r="X63" s="9"/>
      <c r="Y63" s="9"/>
      <c r="Z63" s="9"/>
      <c r="AA63" s="9"/>
      <c r="AB63" s="9"/>
      <c r="AC63" s="9">
        <v>30</v>
      </c>
      <c r="AD63" s="10" t="s">
        <v>339</v>
      </c>
      <c r="AE63" s="10" t="s">
        <v>340</v>
      </c>
      <c r="AF63" s="10" t="s">
        <v>342</v>
      </c>
      <c r="AG63" s="10" t="s">
        <v>322</v>
      </c>
      <c r="AH63" s="10" t="s">
        <v>321</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330</v>
      </c>
      <c r="B65" s="9"/>
      <c r="C65" s="9" t="s">
        <v>203</v>
      </c>
      <c r="D65" s="4" t="str">
        <f t="shared" ref="D65" si="19">"abilities/items/"&amp;I65&amp;"/item_fazhang"</f>
        <v>abilities/items/weapon/item_fazhang</v>
      </c>
      <c r="E65" s="9"/>
      <c r="F65" s="9"/>
      <c r="G65" s="9"/>
      <c r="H65" s="9" t="s">
        <v>330</v>
      </c>
      <c r="I65" s="9" t="s">
        <v>338</v>
      </c>
      <c r="J65" s="9" t="s">
        <v>274</v>
      </c>
      <c r="K65" s="9" t="s">
        <v>275</v>
      </c>
      <c r="L65" s="9" t="s">
        <v>283</v>
      </c>
      <c r="M65" s="9" t="s">
        <v>276</v>
      </c>
      <c r="N65" s="9" t="s">
        <v>280</v>
      </c>
      <c r="O65" s="9" t="s">
        <v>277</v>
      </c>
      <c r="P65" s="9"/>
      <c r="Q65" s="9" t="s">
        <v>353</v>
      </c>
      <c r="R65" s="9"/>
      <c r="S65" s="9"/>
      <c r="T65" s="9">
        <v>22500</v>
      </c>
      <c r="U65" s="9"/>
      <c r="V65" s="9"/>
      <c r="W65" s="9"/>
      <c r="X65" s="9"/>
      <c r="Y65" s="9"/>
      <c r="Z65" s="9"/>
      <c r="AA65" s="9"/>
      <c r="AB65" s="9"/>
      <c r="AC65" s="9">
        <v>30</v>
      </c>
      <c r="AD65" s="10" t="s">
        <v>339</v>
      </c>
      <c r="AE65" s="10" t="s">
        <v>340</v>
      </c>
      <c r="AF65" s="10" t="s">
        <v>342</v>
      </c>
      <c r="AG65" s="10" t="s">
        <v>322</v>
      </c>
      <c r="AH65" s="10" t="s">
        <v>321</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331</v>
      </c>
      <c r="B67" s="9"/>
      <c r="C67" s="9" t="s">
        <v>203</v>
      </c>
      <c r="D67" s="4" t="str">
        <f t="shared" ref="D67" si="20">"abilities/items/"&amp;I67&amp;"/item_fazhang"</f>
        <v>abilities/items/weapon/item_fazhang</v>
      </c>
      <c r="E67" s="9"/>
      <c r="F67" s="9"/>
      <c r="G67" s="9"/>
      <c r="H67" s="9" t="s">
        <v>331</v>
      </c>
      <c r="I67" s="9" t="s">
        <v>338</v>
      </c>
      <c r="J67" s="9" t="s">
        <v>274</v>
      </c>
      <c r="K67" s="9" t="s">
        <v>275</v>
      </c>
      <c r="L67" s="9" t="s">
        <v>283</v>
      </c>
      <c r="M67" s="9" t="s">
        <v>276</v>
      </c>
      <c r="N67" s="9" t="s">
        <v>280</v>
      </c>
      <c r="O67" s="9" t="s">
        <v>277</v>
      </c>
      <c r="P67" s="9"/>
      <c r="Q67" s="9" t="s">
        <v>353</v>
      </c>
      <c r="R67" s="9"/>
      <c r="S67" s="9"/>
      <c r="T67" s="9">
        <v>46500</v>
      </c>
      <c r="U67" s="9"/>
      <c r="V67" s="9"/>
      <c r="W67" s="9"/>
      <c r="X67" s="9"/>
      <c r="Y67" s="9"/>
      <c r="Z67" s="9"/>
      <c r="AA67" s="9"/>
      <c r="AB67" s="9"/>
      <c r="AC67" s="9">
        <v>30</v>
      </c>
      <c r="AD67" s="10" t="s">
        <v>339</v>
      </c>
      <c r="AE67" s="10" t="s">
        <v>340</v>
      </c>
      <c r="AF67" s="10" t="s">
        <v>342</v>
      </c>
      <c r="AG67" s="10" t="s">
        <v>322</v>
      </c>
      <c r="AH67" s="10" t="s">
        <v>321</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358</v>
      </c>
      <c r="B69" s="9"/>
      <c r="C69" s="9" t="s">
        <v>203</v>
      </c>
      <c r="D69" s="4" t="str">
        <f>"abilities/items/"&amp;I69&amp;"/item_fazhang"</f>
        <v>abilities/items/weapon/item_fazhang</v>
      </c>
      <c r="E69" s="9"/>
      <c r="F69" s="9"/>
      <c r="G69" s="9"/>
      <c r="H69" s="9" t="s">
        <v>358</v>
      </c>
      <c r="I69" s="9" t="s">
        <v>338</v>
      </c>
      <c r="J69" s="9" t="s">
        <v>274</v>
      </c>
      <c r="K69" s="9" t="s">
        <v>275</v>
      </c>
      <c r="L69" s="9" t="s">
        <v>283</v>
      </c>
      <c r="M69" s="9" t="s">
        <v>276</v>
      </c>
      <c r="N69" s="9" t="s">
        <v>280</v>
      </c>
      <c r="O69" s="9" t="s">
        <v>277</v>
      </c>
      <c r="P69" s="9"/>
      <c r="Q69" s="9" t="s">
        <v>353</v>
      </c>
      <c r="R69" s="9"/>
      <c r="S69" s="9"/>
      <c r="T69" s="9"/>
      <c r="U69" s="9"/>
      <c r="V69" s="9"/>
      <c r="W69" s="9"/>
      <c r="X69" s="9"/>
      <c r="Y69" s="9"/>
      <c r="Z69" s="9"/>
      <c r="AA69" s="9"/>
      <c r="AB69" s="9"/>
      <c r="AC69" s="9">
        <v>30</v>
      </c>
      <c r="AD69" s="10" t="s">
        <v>339</v>
      </c>
      <c r="AE69" s="10" t="s">
        <v>340</v>
      </c>
      <c r="AF69" s="10" t="s">
        <v>342</v>
      </c>
      <c r="AG69" s="10" t="s">
        <v>322</v>
      </c>
      <c r="AH69" s="10" t="s">
        <v>321</v>
      </c>
      <c r="AI69" s="10" t="s">
        <v>374</v>
      </c>
      <c r="AJ69" s="10" t="s">
        <v>376</v>
      </c>
      <c r="AK69" s="10" t="s">
        <v>347</v>
      </c>
      <c r="AL69" s="10" t="s">
        <v>346</v>
      </c>
      <c r="AM69" s="10" t="s">
        <v>375</v>
      </c>
      <c r="AN69" s="10" t="s">
        <v>345</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359</v>
      </c>
      <c r="B71" s="9"/>
      <c r="C71" s="9" t="s">
        <v>203</v>
      </c>
      <c r="D71" s="4" t="str">
        <f t="shared" ref="D71" si="21">"abilities/items/"&amp;I71&amp;"/item_fazhang"</f>
        <v>abilities/items/weapon/item_fazhang</v>
      </c>
      <c r="E71" s="9"/>
      <c r="F71" s="9"/>
      <c r="G71" s="9"/>
      <c r="H71" s="9" t="s">
        <v>359</v>
      </c>
      <c r="I71" s="9" t="s">
        <v>338</v>
      </c>
      <c r="J71" s="9" t="s">
        <v>274</v>
      </c>
      <c r="K71" s="9" t="s">
        <v>275</v>
      </c>
      <c r="L71" s="9" t="s">
        <v>283</v>
      </c>
      <c r="M71" s="9" t="s">
        <v>276</v>
      </c>
      <c r="N71" s="9" t="s">
        <v>280</v>
      </c>
      <c r="O71" s="9" t="s">
        <v>277</v>
      </c>
      <c r="P71" s="9"/>
      <c r="Q71" s="9" t="s">
        <v>353</v>
      </c>
      <c r="R71" s="9"/>
      <c r="S71" s="9"/>
      <c r="T71" s="9"/>
      <c r="U71" s="9"/>
      <c r="V71" s="9"/>
      <c r="W71" s="9"/>
      <c r="X71" s="9"/>
      <c r="Y71" s="9"/>
      <c r="Z71" s="9"/>
      <c r="AA71" s="9"/>
      <c r="AB71" s="9"/>
      <c r="AC71" s="9">
        <v>30</v>
      </c>
      <c r="AD71" s="10" t="s">
        <v>339</v>
      </c>
      <c r="AE71" s="10" t="s">
        <v>340</v>
      </c>
      <c r="AF71" s="10" t="s">
        <v>342</v>
      </c>
      <c r="AG71" s="10" t="s">
        <v>322</v>
      </c>
      <c r="AH71" s="10" t="s">
        <v>321</v>
      </c>
      <c r="AI71" s="10" t="s">
        <v>374</v>
      </c>
      <c r="AJ71" s="10" t="s">
        <v>376</v>
      </c>
      <c r="AK71" s="10" t="s">
        <v>347</v>
      </c>
      <c r="AL71" s="10" t="s">
        <v>346</v>
      </c>
      <c r="AM71" s="10" t="s">
        <v>375</v>
      </c>
      <c r="AN71" s="10" t="s">
        <v>345</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360</v>
      </c>
      <c r="B73" s="9"/>
      <c r="C73" s="9" t="s">
        <v>203</v>
      </c>
      <c r="D73" s="4" t="str">
        <f t="shared" ref="D73" si="22">"abilities/items/"&amp;I73&amp;"/item_fazhang"</f>
        <v>abilities/items/weapon/item_fazhang</v>
      </c>
      <c r="E73" s="9"/>
      <c r="F73" s="9"/>
      <c r="G73" s="9"/>
      <c r="H73" s="9" t="s">
        <v>360</v>
      </c>
      <c r="I73" s="9" t="s">
        <v>338</v>
      </c>
      <c r="J73" s="9" t="s">
        <v>274</v>
      </c>
      <c r="K73" s="9" t="s">
        <v>275</v>
      </c>
      <c r="L73" s="9" t="s">
        <v>283</v>
      </c>
      <c r="M73" s="9" t="s">
        <v>276</v>
      </c>
      <c r="N73" s="9" t="s">
        <v>280</v>
      </c>
      <c r="O73" s="9" t="s">
        <v>277</v>
      </c>
      <c r="P73" s="9"/>
      <c r="Q73" s="9" t="s">
        <v>353</v>
      </c>
      <c r="R73" s="9"/>
      <c r="S73" s="9"/>
      <c r="T73" s="9"/>
      <c r="U73" s="9"/>
      <c r="V73" s="9"/>
      <c r="W73" s="9"/>
      <c r="X73" s="9"/>
      <c r="Y73" s="9"/>
      <c r="Z73" s="9"/>
      <c r="AA73" s="9"/>
      <c r="AB73" s="9"/>
      <c r="AC73" s="9">
        <v>30</v>
      </c>
      <c r="AD73" s="10" t="s">
        <v>339</v>
      </c>
      <c r="AE73" s="10" t="s">
        <v>340</v>
      </c>
      <c r="AF73" s="10" t="s">
        <v>342</v>
      </c>
      <c r="AG73" s="10" t="s">
        <v>322</v>
      </c>
      <c r="AH73" s="10" t="s">
        <v>321</v>
      </c>
      <c r="AI73" s="10" t="s">
        <v>374</v>
      </c>
      <c r="AJ73" s="10" t="s">
        <v>376</v>
      </c>
      <c r="AK73" s="10" t="s">
        <v>347</v>
      </c>
      <c r="AL73" s="10" t="s">
        <v>346</v>
      </c>
      <c r="AM73" s="10" t="s">
        <v>375</v>
      </c>
      <c r="AN73" s="10" t="s">
        <v>345</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361</v>
      </c>
      <c r="B75" s="9"/>
      <c r="C75" s="9" t="s">
        <v>203</v>
      </c>
      <c r="D75" s="4" t="str">
        <f t="shared" ref="D75" si="23">"abilities/items/"&amp;I75&amp;"/item_fazhang"</f>
        <v>abilities/items/weapon/item_fazhang</v>
      </c>
      <c r="E75" s="9"/>
      <c r="F75" s="9"/>
      <c r="G75" s="9"/>
      <c r="H75" s="9" t="s">
        <v>361</v>
      </c>
      <c r="I75" s="9" t="s">
        <v>338</v>
      </c>
      <c r="J75" s="9" t="s">
        <v>274</v>
      </c>
      <c r="K75" s="9" t="s">
        <v>275</v>
      </c>
      <c r="L75" s="9" t="s">
        <v>283</v>
      </c>
      <c r="M75" s="9" t="s">
        <v>276</v>
      </c>
      <c r="N75" s="9" t="s">
        <v>280</v>
      </c>
      <c r="O75" s="9" t="s">
        <v>277</v>
      </c>
      <c r="P75" s="9"/>
      <c r="Q75" s="9" t="s">
        <v>353</v>
      </c>
      <c r="R75" s="9"/>
      <c r="S75" s="9"/>
      <c r="T75" s="9"/>
      <c r="U75" s="9"/>
      <c r="V75" s="9"/>
      <c r="W75" s="9"/>
      <c r="X75" s="9"/>
      <c r="Y75" s="9"/>
      <c r="Z75" s="9"/>
      <c r="AA75" s="9"/>
      <c r="AB75" s="9"/>
      <c r="AC75" s="9">
        <v>30</v>
      </c>
      <c r="AD75" s="10" t="s">
        <v>339</v>
      </c>
      <c r="AE75" s="10" t="s">
        <v>340</v>
      </c>
      <c r="AF75" s="10" t="s">
        <v>342</v>
      </c>
      <c r="AG75" s="10" t="s">
        <v>322</v>
      </c>
      <c r="AH75" s="10" t="s">
        <v>321</v>
      </c>
      <c r="AI75" s="10" t="s">
        <v>374</v>
      </c>
      <c r="AJ75" s="10" t="s">
        <v>376</v>
      </c>
      <c r="AK75" s="10" t="s">
        <v>347</v>
      </c>
      <c r="AL75" s="10" t="s">
        <v>346</v>
      </c>
      <c r="AM75" s="10" t="s">
        <v>375</v>
      </c>
      <c r="AN75" s="10" t="s">
        <v>345</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273</v>
      </c>
      <c r="B77" s="9"/>
      <c r="C77" s="9" t="s">
        <v>203</v>
      </c>
      <c r="D77" s="4" t="str">
        <f>"abilities/items/"&amp;I77&amp;"/item_gong"</f>
        <v>abilities/items/weapon/item_gong</v>
      </c>
      <c r="E77" s="9"/>
      <c r="F77" s="9"/>
      <c r="G77" s="9"/>
      <c r="H77" s="9" t="s">
        <v>273</v>
      </c>
      <c r="I77" s="9" t="s">
        <v>338</v>
      </c>
      <c r="J77" s="9" t="s">
        <v>274</v>
      </c>
      <c r="K77" s="9" t="s">
        <v>275</v>
      </c>
      <c r="L77" s="9" t="s">
        <v>283</v>
      </c>
      <c r="M77" s="9" t="s">
        <v>0</v>
      </c>
      <c r="N77" s="9" t="s">
        <v>280</v>
      </c>
      <c r="O77" s="9" t="s">
        <v>277</v>
      </c>
      <c r="P77" s="9"/>
      <c r="Q77" s="9" t="s">
        <v>353</v>
      </c>
      <c r="R77" s="9"/>
      <c r="S77" s="9"/>
      <c r="T77" s="9">
        <v>1500</v>
      </c>
      <c r="U77" s="9"/>
      <c r="V77" s="9"/>
      <c r="W77" s="9"/>
      <c r="X77" s="9"/>
      <c r="Y77" s="9"/>
      <c r="Z77" s="9"/>
      <c r="AA77" s="9"/>
      <c r="AB77" s="9"/>
      <c r="AC77" s="9"/>
      <c r="AD77" s="10" t="s">
        <v>339</v>
      </c>
      <c r="AE77" s="10" t="s">
        <v>340</v>
      </c>
      <c r="AF77" s="10" t="s">
        <v>341</v>
      </c>
      <c r="AG77" s="10" t="s">
        <v>320</v>
      </c>
      <c r="AH77" s="10" t="s">
        <v>323</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10</v>
      </c>
      <c r="AG78" s="10">
        <v>2</v>
      </c>
      <c r="AH78" s="10">
        <v>50</v>
      </c>
      <c r="AI78" s="10"/>
      <c r="AJ78" s="10"/>
      <c r="AK78" s="10"/>
      <c r="AL78" s="10"/>
      <c r="AM78" s="10"/>
      <c r="AN78" s="10"/>
    </row>
    <row r="79" spans="1:40" customFormat="1" x14ac:dyDescent="0.2">
      <c r="A79" s="9" t="s">
        <v>332</v>
      </c>
      <c r="B79" s="9"/>
      <c r="C79" s="9" t="s">
        <v>203</v>
      </c>
      <c r="D79" s="4" t="str">
        <f t="shared" ref="D79" si="24">"abilities/items/"&amp;I79&amp;"/item_gong"</f>
        <v>abilities/items/weapon/item_gong</v>
      </c>
      <c r="E79" s="9"/>
      <c r="F79" s="9"/>
      <c r="G79" s="9"/>
      <c r="H79" s="9" t="s">
        <v>332</v>
      </c>
      <c r="I79" s="9" t="s">
        <v>338</v>
      </c>
      <c r="J79" s="9" t="s">
        <v>274</v>
      </c>
      <c r="K79" s="9" t="s">
        <v>275</v>
      </c>
      <c r="L79" s="9" t="s">
        <v>283</v>
      </c>
      <c r="M79" s="9" t="s">
        <v>0</v>
      </c>
      <c r="N79" s="9" t="s">
        <v>280</v>
      </c>
      <c r="O79" s="9" t="s">
        <v>277</v>
      </c>
      <c r="P79" s="9"/>
      <c r="Q79" s="9" t="s">
        <v>353</v>
      </c>
      <c r="R79" s="9"/>
      <c r="S79" s="9"/>
      <c r="T79" s="9">
        <v>4500</v>
      </c>
      <c r="U79" s="9"/>
      <c r="V79" s="9"/>
      <c r="W79" s="9"/>
      <c r="X79" s="9"/>
      <c r="Y79" s="9"/>
      <c r="Z79" s="9"/>
      <c r="AA79" s="9"/>
      <c r="AB79" s="9"/>
      <c r="AC79" s="9"/>
      <c r="AD79" s="10" t="s">
        <v>339</v>
      </c>
      <c r="AE79" s="10" t="s">
        <v>340</v>
      </c>
      <c r="AF79" s="10" t="s">
        <v>341</v>
      </c>
      <c r="AG79" s="10" t="s">
        <v>320</v>
      </c>
      <c r="AH79" s="10" t="s">
        <v>323</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333</v>
      </c>
      <c r="B81" s="9"/>
      <c r="C81" s="9" t="s">
        <v>203</v>
      </c>
      <c r="D81" s="4" t="str">
        <f t="shared" ref="D81" si="25">"abilities/items/"&amp;I81&amp;"/item_gong"</f>
        <v>abilities/items/weapon/item_gong</v>
      </c>
      <c r="E81" s="9"/>
      <c r="F81" s="9"/>
      <c r="G81" s="9"/>
      <c r="H81" s="9" t="s">
        <v>333</v>
      </c>
      <c r="I81" s="9" t="s">
        <v>338</v>
      </c>
      <c r="J81" s="9" t="s">
        <v>274</v>
      </c>
      <c r="K81" s="9" t="s">
        <v>275</v>
      </c>
      <c r="L81" s="9" t="s">
        <v>283</v>
      </c>
      <c r="M81" s="9" t="s">
        <v>0</v>
      </c>
      <c r="N81" s="9" t="s">
        <v>280</v>
      </c>
      <c r="O81" s="9" t="s">
        <v>277</v>
      </c>
      <c r="P81" s="9"/>
      <c r="Q81" s="9" t="s">
        <v>353</v>
      </c>
      <c r="R81" s="9"/>
      <c r="S81" s="9"/>
      <c r="T81" s="9">
        <v>10500</v>
      </c>
      <c r="U81" s="9"/>
      <c r="V81" s="9"/>
      <c r="W81" s="9"/>
      <c r="X81" s="9"/>
      <c r="Y81" s="9"/>
      <c r="Z81" s="9"/>
      <c r="AA81" s="9"/>
      <c r="AB81" s="9"/>
      <c r="AC81" s="9"/>
      <c r="AD81" s="10" t="s">
        <v>339</v>
      </c>
      <c r="AE81" s="10" t="s">
        <v>340</v>
      </c>
      <c r="AF81" s="10" t="s">
        <v>341</v>
      </c>
      <c r="AG81" s="10" t="s">
        <v>320</v>
      </c>
      <c r="AH81" s="10" t="s">
        <v>323</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334</v>
      </c>
      <c r="B83" s="9"/>
      <c r="C83" s="9" t="s">
        <v>203</v>
      </c>
      <c r="D83" s="4" t="str">
        <f t="shared" ref="D83" si="26">"abilities/items/"&amp;I83&amp;"/item_gong"</f>
        <v>abilities/items/weapon/item_gong</v>
      </c>
      <c r="E83" s="9"/>
      <c r="F83" s="9"/>
      <c r="G83" s="9"/>
      <c r="H83" s="9" t="s">
        <v>334</v>
      </c>
      <c r="I83" s="9" t="s">
        <v>338</v>
      </c>
      <c r="J83" s="9" t="s">
        <v>274</v>
      </c>
      <c r="K83" s="9" t="s">
        <v>275</v>
      </c>
      <c r="L83" s="9" t="s">
        <v>283</v>
      </c>
      <c r="M83" s="9" t="s">
        <v>0</v>
      </c>
      <c r="N83" s="9" t="s">
        <v>280</v>
      </c>
      <c r="O83" s="9" t="s">
        <v>277</v>
      </c>
      <c r="P83" s="9"/>
      <c r="Q83" s="9" t="s">
        <v>353</v>
      </c>
      <c r="R83" s="9"/>
      <c r="S83" s="9"/>
      <c r="T83" s="9">
        <v>22500</v>
      </c>
      <c r="U83" s="9"/>
      <c r="V83" s="9"/>
      <c r="W83" s="9"/>
      <c r="X83" s="9"/>
      <c r="Y83" s="9"/>
      <c r="Z83" s="9"/>
      <c r="AA83" s="9"/>
      <c r="AB83" s="9"/>
      <c r="AC83" s="9"/>
      <c r="AD83" s="10" t="s">
        <v>339</v>
      </c>
      <c r="AE83" s="10" t="s">
        <v>340</v>
      </c>
      <c r="AF83" s="10" t="s">
        <v>341</v>
      </c>
      <c r="AG83" s="10" t="s">
        <v>320</v>
      </c>
      <c r="AH83" s="10" t="s">
        <v>323</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335</v>
      </c>
      <c r="B85" s="9"/>
      <c r="C85" s="9" t="s">
        <v>203</v>
      </c>
      <c r="D85" s="4" t="str">
        <f t="shared" ref="D85" si="27">"abilities/items/"&amp;I85&amp;"/item_gong"</f>
        <v>abilities/items/weapon/item_gong</v>
      </c>
      <c r="E85" s="9"/>
      <c r="F85" s="9"/>
      <c r="G85" s="9"/>
      <c r="H85" s="9" t="s">
        <v>335</v>
      </c>
      <c r="I85" s="9" t="s">
        <v>338</v>
      </c>
      <c r="J85" s="9" t="s">
        <v>274</v>
      </c>
      <c r="K85" s="9" t="s">
        <v>275</v>
      </c>
      <c r="L85" s="9" t="s">
        <v>283</v>
      </c>
      <c r="M85" s="9" t="s">
        <v>0</v>
      </c>
      <c r="N85" s="9" t="s">
        <v>280</v>
      </c>
      <c r="O85" s="9" t="s">
        <v>277</v>
      </c>
      <c r="P85" s="9"/>
      <c r="Q85" s="9" t="s">
        <v>353</v>
      </c>
      <c r="R85" s="9"/>
      <c r="S85" s="9"/>
      <c r="T85" s="9">
        <v>46500</v>
      </c>
      <c r="U85" s="9"/>
      <c r="V85" s="9"/>
      <c r="W85" s="9"/>
      <c r="X85" s="9"/>
      <c r="Y85" s="9"/>
      <c r="Z85" s="9"/>
      <c r="AA85" s="9"/>
      <c r="AB85" s="9"/>
      <c r="AC85" s="9"/>
      <c r="AD85" s="10" t="s">
        <v>339</v>
      </c>
      <c r="AE85" s="10" t="s">
        <v>340</v>
      </c>
      <c r="AF85" s="10" t="s">
        <v>341</v>
      </c>
      <c r="AG85" s="10" t="s">
        <v>320</v>
      </c>
      <c r="AH85" s="10" t="s">
        <v>323</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362</v>
      </c>
      <c r="B87" s="9"/>
      <c r="C87" s="9" t="s">
        <v>203</v>
      </c>
      <c r="D87" s="4" t="str">
        <f>"abilities/items/"&amp;I87&amp;"/item_gong"</f>
        <v>abilities/items/weapon/item_gong</v>
      </c>
      <c r="E87" s="9"/>
      <c r="F87" s="9"/>
      <c r="G87" s="9"/>
      <c r="H87" s="9" t="s">
        <v>362</v>
      </c>
      <c r="I87" s="9" t="s">
        <v>338</v>
      </c>
      <c r="J87" s="9" t="s">
        <v>274</v>
      </c>
      <c r="K87" s="9" t="s">
        <v>275</v>
      </c>
      <c r="L87" s="9" t="s">
        <v>283</v>
      </c>
      <c r="M87" s="9" t="s">
        <v>0</v>
      </c>
      <c r="N87" s="9" t="s">
        <v>280</v>
      </c>
      <c r="O87" s="9" t="s">
        <v>277</v>
      </c>
      <c r="P87" s="9"/>
      <c r="Q87" s="9" t="s">
        <v>353</v>
      </c>
      <c r="R87" s="9"/>
      <c r="S87" s="9"/>
      <c r="T87" s="9"/>
      <c r="U87" s="9"/>
      <c r="V87" s="9"/>
      <c r="W87" s="9"/>
      <c r="X87" s="9"/>
      <c r="Y87" s="9"/>
      <c r="Z87" s="9"/>
      <c r="AA87" s="9"/>
      <c r="AB87" s="9"/>
      <c r="AC87" s="9"/>
      <c r="AD87" s="10" t="s">
        <v>339</v>
      </c>
      <c r="AE87" s="10" t="s">
        <v>340</v>
      </c>
      <c r="AF87" s="10" t="s">
        <v>341</v>
      </c>
      <c r="AG87" s="10" t="s">
        <v>320</v>
      </c>
      <c r="AH87" s="10" t="s">
        <v>323</v>
      </c>
      <c r="AI87" s="10" t="s">
        <v>374</v>
      </c>
      <c r="AJ87" s="10" t="s">
        <v>376</v>
      </c>
      <c r="AK87" s="10" t="s">
        <v>347</v>
      </c>
      <c r="AL87" s="10" t="s">
        <v>346</v>
      </c>
      <c r="AM87" s="10" t="s">
        <v>375</v>
      </c>
      <c r="AN87" s="10" t="s">
        <v>345</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363</v>
      </c>
      <c r="B89" s="9"/>
      <c r="C89" s="9" t="s">
        <v>203</v>
      </c>
      <c r="D89" s="4" t="str">
        <f t="shared" ref="D89" si="28">"abilities/items/"&amp;I89&amp;"/item_gong"</f>
        <v>abilities/items/weapon/item_gong</v>
      </c>
      <c r="E89" s="9"/>
      <c r="F89" s="9"/>
      <c r="G89" s="9"/>
      <c r="H89" s="9" t="s">
        <v>363</v>
      </c>
      <c r="I89" s="9" t="s">
        <v>338</v>
      </c>
      <c r="J89" s="9" t="s">
        <v>274</v>
      </c>
      <c r="K89" s="9" t="s">
        <v>275</v>
      </c>
      <c r="L89" s="9" t="s">
        <v>283</v>
      </c>
      <c r="M89" s="9" t="s">
        <v>0</v>
      </c>
      <c r="N89" s="9" t="s">
        <v>280</v>
      </c>
      <c r="O89" s="9" t="s">
        <v>277</v>
      </c>
      <c r="P89" s="9"/>
      <c r="Q89" s="9" t="s">
        <v>353</v>
      </c>
      <c r="R89" s="9"/>
      <c r="S89" s="9"/>
      <c r="T89" s="9"/>
      <c r="U89" s="9"/>
      <c r="V89" s="9"/>
      <c r="W89" s="9"/>
      <c r="X89" s="9"/>
      <c r="Y89" s="9"/>
      <c r="Z89" s="9"/>
      <c r="AA89" s="9"/>
      <c r="AB89" s="9"/>
      <c r="AC89" s="9"/>
      <c r="AD89" s="10" t="s">
        <v>339</v>
      </c>
      <c r="AE89" s="10" t="s">
        <v>340</v>
      </c>
      <c r="AF89" s="10" t="s">
        <v>341</v>
      </c>
      <c r="AG89" s="10" t="s">
        <v>320</v>
      </c>
      <c r="AH89" s="10" t="s">
        <v>323</v>
      </c>
      <c r="AI89" s="10" t="s">
        <v>374</v>
      </c>
      <c r="AJ89" s="10" t="s">
        <v>376</v>
      </c>
      <c r="AK89" s="10" t="s">
        <v>347</v>
      </c>
      <c r="AL89" s="10" t="s">
        <v>346</v>
      </c>
      <c r="AM89" s="10" t="s">
        <v>375</v>
      </c>
      <c r="AN89" s="10" t="s">
        <v>345</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364</v>
      </c>
      <c r="B91" s="9"/>
      <c r="C91" s="9" t="s">
        <v>203</v>
      </c>
      <c r="D91" s="4" t="str">
        <f t="shared" ref="D91" si="29">"abilities/items/"&amp;I91&amp;"/item_gong"</f>
        <v>abilities/items/weapon/item_gong</v>
      </c>
      <c r="E91" s="9"/>
      <c r="F91" s="9"/>
      <c r="G91" s="9"/>
      <c r="H91" s="9" t="s">
        <v>364</v>
      </c>
      <c r="I91" s="9" t="s">
        <v>338</v>
      </c>
      <c r="J91" s="9" t="s">
        <v>274</v>
      </c>
      <c r="K91" s="9" t="s">
        <v>275</v>
      </c>
      <c r="L91" s="9" t="s">
        <v>283</v>
      </c>
      <c r="M91" s="9" t="s">
        <v>0</v>
      </c>
      <c r="N91" s="9" t="s">
        <v>280</v>
      </c>
      <c r="O91" s="9" t="s">
        <v>277</v>
      </c>
      <c r="P91" s="9"/>
      <c r="Q91" s="9" t="s">
        <v>353</v>
      </c>
      <c r="R91" s="9"/>
      <c r="S91" s="9"/>
      <c r="T91" s="9"/>
      <c r="U91" s="9"/>
      <c r="V91" s="9"/>
      <c r="W91" s="9"/>
      <c r="X91" s="9"/>
      <c r="Y91" s="9"/>
      <c r="Z91" s="9"/>
      <c r="AA91" s="9"/>
      <c r="AB91" s="9"/>
      <c r="AC91" s="9"/>
      <c r="AD91" s="10" t="s">
        <v>339</v>
      </c>
      <c r="AE91" s="10" t="s">
        <v>340</v>
      </c>
      <c r="AF91" s="10" t="s">
        <v>341</v>
      </c>
      <c r="AG91" s="10" t="s">
        <v>320</v>
      </c>
      <c r="AH91" s="10" t="s">
        <v>323</v>
      </c>
      <c r="AI91" s="10" t="s">
        <v>374</v>
      </c>
      <c r="AJ91" s="10" t="s">
        <v>376</v>
      </c>
      <c r="AK91" s="10" t="s">
        <v>347</v>
      </c>
      <c r="AL91" s="10" t="s">
        <v>346</v>
      </c>
      <c r="AM91" s="10" t="s">
        <v>375</v>
      </c>
      <c r="AN91" s="10" t="s">
        <v>345</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365</v>
      </c>
      <c r="B93" s="9"/>
      <c r="C93" s="9" t="s">
        <v>203</v>
      </c>
      <c r="D93" s="4" t="str">
        <f t="shared" ref="D93" si="30">"abilities/items/"&amp;I93&amp;"/item_gong"</f>
        <v>abilities/items/weapon/item_gong</v>
      </c>
      <c r="E93" s="9"/>
      <c r="F93" s="9"/>
      <c r="G93" s="9"/>
      <c r="H93" s="9" t="s">
        <v>365</v>
      </c>
      <c r="I93" s="9" t="s">
        <v>338</v>
      </c>
      <c r="J93" s="9" t="s">
        <v>274</v>
      </c>
      <c r="K93" s="9" t="s">
        <v>275</v>
      </c>
      <c r="L93" s="9" t="s">
        <v>283</v>
      </c>
      <c r="M93" s="9" t="s">
        <v>0</v>
      </c>
      <c r="N93" s="9" t="s">
        <v>280</v>
      </c>
      <c r="O93" s="9" t="s">
        <v>277</v>
      </c>
      <c r="P93" s="9"/>
      <c r="Q93" s="9" t="s">
        <v>353</v>
      </c>
      <c r="R93" s="9"/>
      <c r="S93" s="9"/>
      <c r="T93" s="9"/>
      <c r="U93" s="9"/>
      <c r="V93" s="9"/>
      <c r="W93" s="9"/>
      <c r="X93" s="9"/>
      <c r="Y93" s="9"/>
      <c r="Z93" s="9"/>
      <c r="AA93" s="9"/>
      <c r="AB93" s="9"/>
      <c r="AC93" s="9"/>
      <c r="AD93" s="10" t="s">
        <v>339</v>
      </c>
      <c r="AE93" s="10" t="s">
        <v>340</v>
      </c>
      <c r="AF93" s="10" t="s">
        <v>341</v>
      </c>
      <c r="AG93" s="10" t="s">
        <v>320</v>
      </c>
      <c r="AH93" s="10" t="s">
        <v>323</v>
      </c>
      <c r="AI93" s="10" t="s">
        <v>374</v>
      </c>
      <c r="AJ93" s="10" t="s">
        <v>376</v>
      </c>
      <c r="AK93" s="10" t="s">
        <v>347</v>
      </c>
      <c r="AL93" s="10" t="s">
        <v>346</v>
      </c>
      <c r="AM93" s="10" t="s">
        <v>375</v>
      </c>
      <c r="AN93" s="10" t="s">
        <v>345</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343</v>
      </c>
      <c r="B95" s="9"/>
      <c r="C95" s="9" t="s">
        <v>203</v>
      </c>
      <c r="D95" s="4" t="str">
        <f>"abilities/items/"&amp;I95&amp;"/item_jia"</f>
        <v>abilities/items/weapon/item_jia</v>
      </c>
      <c r="E95" s="9"/>
      <c r="F95" s="9"/>
      <c r="G95" s="9"/>
      <c r="H95" s="9" t="s">
        <v>343</v>
      </c>
      <c r="I95" s="9" t="s">
        <v>338</v>
      </c>
      <c r="J95" s="9" t="s">
        <v>274</v>
      </c>
      <c r="K95" s="9" t="s">
        <v>275</v>
      </c>
      <c r="L95" s="9" t="s">
        <v>283</v>
      </c>
      <c r="M95" s="9" t="s">
        <v>0</v>
      </c>
      <c r="N95" s="9"/>
      <c r="O95" s="9"/>
      <c r="P95" s="9"/>
      <c r="Q95" s="9"/>
      <c r="R95" s="9"/>
      <c r="S95" s="9"/>
      <c r="T95" s="9">
        <v>1000</v>
      </c>
      <c r="U95" s="9"/>
      <c r="V95" s="9"/>
      <c r="W95" s="9"/>
      <c r="X95" s="9"/>
      <c r="Y95" s="9"/>
      <c r="Z95" s="9"/>
      <c r="AA95" s="9"/>
      <c r="AB95" s="9"/>
      <c r="AC95" s="9"/>
      <c r="AD95" s="10" t="s">
        <v>374</v>
      </c>
      <c r="AE95" s="10" t="s">
        <v>347</v>
      </c>
      <c r="AF95" s="10" t="s">
        <v>345</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366</v>
      </c>
      <c r="B97" s="9"/>
      <c r="C97" s="9" t="s">
        <v>203</v>
      </c>
      <c r="D97" s="4" t="str">
        <f t="shared" ref="D97" si="31">"abilities/items/"&amp;I97&amp;"/item_jia"</f>
        <v>abilities/items/weapon/item_jia</v>
      </c>
      <c r="E97" s="9"/>
      <c r="F97" s="9"/>
      <c r="G97" s="9"/>
      <c r="H97" s="9" t="s">
        <v>366</v>
      </c>
      <c r="I97" s="9" t="s">
        <v>338</v>
      </c>
      <c r="J97" s="9" t="s">
        <v>274</v>
      </c>
      <c r="K97" s="9" t="s">
        <v>275</v>
      </c>
      <c r="L97" s="9" t="s">
        <v>283</v>
      </c>
      <c r="M97" s="9" t="s">
        <v>0</v>
      </c>
      <c r="N97" s="9"/>
      <c r="O97" s="9"/>
      <c r="P97" s="9"/>
      <c r="Q97" s="9"/>
      <c r="R97" s="9"/>
      <c r="S97" s="9"/>
      <c r="T97" s="9"/>
      <c r="U97" s="9"/>
      <c r="V97" s="9"/>
      <c r="W97" s="9"/>
      <c r="X97" s="9"/>
      <c r="Y97" s="9"/>
      <c r="Z97" s="9"/>
      <c r="AA97" s="9"/>
      <c r="AB97" s="9"/>
      <c r="AC97" s="9"/>
      <c r="AD97" s="10" t="s">
        <v>374</v>
      </c>
      <c r="AE97" s="10" t="s">
        <v>347</v>
      </c>
      <c r="AF97" s="10" t="s">
        <v>345</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367</v>
      </c>
      <c r="B99" s="9"/>
      <c r="C99" s="9" t="s">
        <v>203</v>
      </c>
      <c r="D99" s="4" t="str">
        <f t="shared" ref="D99" si="32">"abilities/items/"&amp;I99&amp;"/item_jia"</f>
        <v>abilities/items/weapon/item_jia</v>
      </c>
      <c r="E99" s="9"/>
      <c r="F99" s="9"/>
      <c r="G99" s="9"/>
      <c r="H99" s="9" t="s">
        <v>367</v>
      </c>
      <c r="I99" s="9" t="s">
        <v>338</v>
      </c>
      <c r="J99" s="9" t="s">
        <v>274</v>
      </c>
      <c r="K99" s="9" t="s">
        <v>275</v>
      </c>
      <c r="L99" s="9" t="s">
        <v>283</v>
      </c>
      <c r="M99" s="9" t="s">
        <v>0</v>
      </c>
      <c r="N99" s="9"/>
      <c r="O99" s="9"/>
      <c r="P99" s="9"/>
      <c r="Q99" s="9"/>
      <c r="R99" s="9"/>
      <c r="S99" s="9"/>
      <c r="T99" s="9"/>
      <c r="U99" s="9"/>
      <c r="V99" s="9"/>
      <c r="W99" s="9"/>
      <c r="X99" s="9"/>
      <c r="Y99" s="9"/>
      <c r="Z99" s="9"/>
      <c r="AA99" s="9"/>
      <c r="AB99" s="9"/>
      <c r="AC99" s="9"/>
      <c r="AD99" s="10" t="s">
        <v>374</v>
      </c>
      <c r="AE99" s="10" t="s">
        <v>347</v>
      </c>
      <c r="AF99" s="10" t="s">
        <v>345</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368</v>
      </c>
      <c r="C101" s="9" t="s">
        <v>203</v>
      </c>
      <c r="D101" s="4" t="str">
        <f t="shared" ref="D101" si="33">"abilities/items/"&amp;I101&amp;"/item_jia"</f>
        <v>abilities/items/weapon/item_jia</v>
      </c>
      <c r="H101" s="9" t="s">
        <v>368</v>
      </c>
      <c r="I101" s="9" t="s">
        <v>338</v>
      </c>
      <c r="J101" s="9" t="s">
        <v>274</v>
      </c>
      <c r="K101" s="9" t="s">
        <v>275</v>
      </c>
      <c r="L101" s="9" t="s">
        <v>283</v>
      </c>
      <c r="M101" s="9" t="s">
        <v>0</v>
      </c>
      <c r="AD101" s="10" t="s">
        <v>374</v>
      </c>
      <c r="AE101" s="10" t="s">
        <v>347</v>
      </c>
      <c r="AF101" s="10" t="s">
        <v>345</v>
      </c>
    </row>
    <row r="102" spans="1:40" x14ac:dyDescent="0.2">
      <c r="A102" s="9"/>
      <c r="C102" s="9"/>
      <c r="D102" s="9"/>
      <c r="H102" s="9"/>
      <c r="I102" s="9"/>
      <c r="J102" s="9"/>
      <c r="K102" s="9"/>
      <c r="L102" s="9"/>
      <c r="M102" s="9"/>
      <c r="AD102" s="10">
        <v>1600</v>
      </c>
      <c r="AE102" s="10">
        <v>20</v>
      </c>
      <c r="AF102" s="10">
        <v>12</v>
      </c>
    </row>
    <row r="103" spans="1:40" x14ac:dyDescent="0.2">
      <c r="A103" s="9" t="s">
        <v>369</v>
      </c>
      <c r="C103" s="9" t="s">
        <v>203</v>
      </c>
      <c r="D103" s="4" t="str">
        <f t="shared" ref="D103" si="34">"abilities/items/"&amp;I103&amp;"/item_jia"</f>
        <v>abilities/items/weapon/item_jia</v>
      </c>
      <c r="H103" s="9" t="s">
        <v>369</v>
      </c>
      <c r="I103" s="9" t="s">
        <v>338</v>
      </c>
      <c r="J103" s="9" t="s">
        <v>274</v>
      </c>
      <c r="K103" s="9" t="s">
        <v>275</v>
      </c>
      <c r="L103" s="9" t="s">
        <v>283</v>
      </c>
      <c r="M103" s="9" t="s">
        <v>0</v>
      </c>
      <c r="AD103" s="10" t="s">
        <v>374</v>
      </c>
      <c r="AE103" s="10" t="s">
        <v>347</v>
      </c>
      <c r="AF103" s="10" t="s">
        <v>345</v>
      </c>
    </row>
    <row r="104" spans="1:40" x14ac:dyDescent="0.2">
      <c r="C104" s="9"/>
      <c r="D104" s="9"/>
      <c r="I104" s="9"/>
      <c r="K104" s="9"/>
      <c r="AD104" s="1">
        <v>3200</v>
      </c>
      <c r="AE104" s="1">
        <v>30</v>
      </c>
      <c r="AF104" s="10">
        <v>15</v>
      </c>
    </row>
    <row r="105" spans="1:40" x14ac:dyDescent="0.2">
      <c r="A105" s="3" t="s">
        <v>344</v>
      </c>
      <c r="C105" s="9" t="s">
        <v>203</v>
      </c>
      <c r="D105" s="4" t="str">
        <f>"abilities/items/"&amp;I105&amp;"/item_xie"</f>
        <v>abilities/items/weapon/item_xie</v>
      </c>
      <c r="H105" s="3" t="s">
        <v>344</v>
      </c>
      <c r="I105" s="9" t="s">
        <v>338</v>
      </c>
      <c r="J105" s="9" t="s">
        <v>274</v>
      </c>
      <c r="K105" s="9" t="s">
        <v>275</v>
      </c>
      <c r="L105" s="9" t="s">
        <v>283</v>
      </c>
      <c r="M105" s="9" t="s">
        <v>0</v>
      </c>
      <c r="T105" s="3">
        <v>1000</v>
      </c>
      <c r="AD105" s="1" t="s">
        <v>375</v>
      </c>
      <c r="AE105" s="1" t="s">
        <v>346</v>
      </c>
      <c r="AF105" s="1" t="s">
        <v>376</v>
      </c>
    </row>
    <row r="106" spans="1:40" x14ac:dyDescent="0.2">
      <c r="C106" s="9"/>
      <c r="D106" s="9"/>
      <c r="I106" s="9"/>
      <c r="K106" s="9"/>
      <c r="AD106" s="1">
        <v>20</v>
      </c>
      <c r="AE106" s="1">
        <v>5</v>
      </c>
      <c r="AF106" s="1">
        <v>100</v>
      </c>
    </row>
    <row r="107" spans="1:40" x14ac:dyDescent="0.2">
      <c r="A107" s="3" t="s">
        <v>370</v>
      </c>
      <c r="C107" s="9" t="s">
        <v>203</v>
      </c>
      <c r="D107" s="4" t="str">
        <f t="shared" ref="D107" si="35">"abilities/items/"&amp;I107&amp;"/item_xie"</f>
        <v>abilities/items/weapon/item_xie</v>
      </c>
      <c r="H107" s="3" t="s">
        <v>370</v>
      </c>
      <c r="I107" s="9" t="s">
        <v>338</v>
      </c>
      <c r="J107" s="9" t="s">
        <v>274</v>
      </c>
      <c r="K107" s="9" t="s">
        <v>275</v>
      </c>
      <c r="L107" s="9" t="s">
        <v>283</v>
      </c>
      <c r="M107" s="9" t="s">
        <v>0</v>
      </c>
      <c r="AD107" s="1" t="s">
        <v>375</v>
      </c>
      <c r="AE107" s="1" t="s">
        <v>346</v>
      </c>
      <c r="AF107" s="1" t="s">
        <v>376</v>
      </c>
    </row>
    <row r="108" spans="1:40" x14ac:dyDescent="0.2">
      <c r="C108" s="9"/>
      <c r="D108" s="9"/>
      <c r="I108" s="9"/>
      <c r="K108" s="9"/>
      <c r="AD108" s="1">
        <v>40</v>
      </c>
      <c r="AE108" s="1">
        <v>10</v>
      </c>
      <c r="AF108" s="1">
        <v>200</v>
      </c>
    </row>
    <row r="109" spans="1:40" x14ac:dyDescent="0.2">
      <c r="A109" s="3" t="s">
        <v>371</v>
      </c>
      <c r="C109" s="9" t="s">
        <v>203</v>
      </c>
      <c r="D109" s="4" t="str">
        <f t="shared" ref="D109" si="36">"abilities/items/"&amp;I109&amp;"/item_xie"</f>
        <v>abilities/items/weapon/item_xie</v>
      </c>
      <c r="H109" s="3" t="s">
        <v>371</v>
      </c>
      <c r="I109" s="9" t="s">
        <v>338</v>
      </c>
      <c r="J109" s="9" t="s">
        <v>274</v>
      </c>
      <c r="K109" s="9" t="s">
        <v>275</v>
      </c>
      <c r="L109" s="9" t="s">
        <v>283</v>
      </c>
      <c r="M109" s="9" t="s">
        <v>0</v>
      </c>
      <c r="AD109" s="1" t="s">
        <v>375</v>
      </c>
      <c r="AE109" s="1" t="s">
        <v>346</v>
      </c>
      <c r="AF109" s="1" t="s">
        <v>376</v>
      </c>
    </row>
    <row r="110" spans="1:40" x14ac:dyDescent="0.2">
      <c r="C110" s="9"/>
      <c r="D110" s="9"/>
      <c r="I110" s="9"/>
      <c r="K110" s="9"/>
      <c r="AD110" s="1">
        <v>60</v>
      </c>
      <c r="AE110" s="1">
        <v>15</v>
      </c>
      <c r="AF110" s="1">
        <v>400</v>
      </c>
    </row>
    <row r="111" spans="1:40" x14ac:dyDescent="0.2">
      <c r="A111" s="3" t="s">
        <v>372</v>
      </c>
      <c r="C111" s="9" t="s">
        <v>203</v>
      </c>
      <c r="D111" s="4" t="str">
        <f t="shared" ref="D111" si="37">"abilities/items/"&amp;I111&amp;"/item_xie"</f>
        <v>abilities/items/weapon/item_xie</v>
      </c>
      <c r="H111" s="3" t="s">
        <v>372</v>
      </c>
      <c r="I111" s="9" t="s">
        <v>338</v>
      </c>
      <c r="J111" s="9" t="s">
        <v>274</v>
      </c>
      <c r="K111" s="9" t="s">
        <v>275</v>
      </c>
      <c r="L111" s="9" t="s">
        <v>283</v>
      </c>
      <c r="M111" s="9" t="s">
        <v>0</v>
      </c>
      <c r="AD111" s="1" t="s">
        <v>375</v>
      </c>
      <c r="AE111" s="1" t="s">
        <v>346</v>
      </c>
      <c r="AF111" s="1" t="s">
        <v>376</v>
      </c>
    </row>
    <row r="112" spans="1:40" x14ac:dyDescent="0.2">
      <c r="C112" s="9"/>
      <c r="D112" s="9"/>
      <c r="I112" s="9"/>
      <c r="K112" s="9"/>
      <c r="AD112" s="1">
        <v>80</v>
      </c>
      <c r="AE112" s="1">
        <v>20</v>
      </c>
      <c r="AF112" s="1">
        <v>800</v>
      </c>
    </row>
    <row r="113" spans="1:32" x14ac:dyDescent="0.2">
      <c r="A113" s="3" t="s">
        <v>373</v>
      </c>
      <c r="C113" s="9" t="s">
        <v>203</v>
      </c>
      <c r="D113" s="4" t="str">
        <f t="shared" ref="D113" si="38">"abilities/items/"&amp;I113&amp;"/item_xie"</f>
        <v>abilities/items/weapon/item_xie</v>
      </c>
      <c r="H113" s="3" t="s">
        <v>373</v>
      </c>
      <c r="I113" s="9" t="s">
        <v>338</v>
      </c>
      <c r="J113" s="9" t="s">
        <v>274</v>
      </c>
      <c r="K113" s="9" t="s">
        <v>275</v>
      </c>
      <c r="L113" s="9" t="s">
        <v>283</v>
      </c>
      <c r="M113" s="9" t="s">
        <v>0</v>
      </c>
      <c r="AD113" s="1" t="s">
        <v>375</v>
      </c>
      <c r="AE113" s="1" t="s">
        <v>346</v>
      </c>
      <c r="AF113" s="1" t="s">
        <v>376</v>
      </c>
    </row>
    <row r="114" spans="1:32" x14ac:dyDescent="0.2">
      <c r="C114" s="9"/>
      <c r="D114" s="9"/>
      <c r="I114" s="9"/>
      <c r="AD114" s="1">
        <v>100</v>
      </c>
      <c r="AE114" s="1">
        <v>25</v>
      </c>
      <c r="AF114" s="1">
        <v>1600</v>
      </c>
    </row>
  </sheetData>
  <phoneticPr fontId="1" type="noConversion"/>
  <conditionalFormatting sqref="A3:AC4 I11:L11 I13:L13 I15:L15 I17:L17 I19:L19 I21:L21 I23:J23 I25:J25 I27:J27 I5:L9 D5:E22">
    <cfRule type="expression" dxfId="96" priority="86">
      <formula>AND(ISBLANK(A3)=FALSE,MOD(ROW(),2)=0)</formula>
    </cfRule>
  </conditionalFormatting>
  <conditionalFormatting sqref="A3:AK52 A53:AH58 A95:AK1000 A94:AH94 A59:AK60 AD63:AK68 AD69:AH76 A76:AC76 AO3:XFD1000 R63:AC75 R61:AK62 A61:Q75 R87:AH93 R77:AK86 A77:Q93">
    <cfRule type="expression" dxfId="95" priority="87">
      <formula>MOD(ROW(A4),2)=0</formula>
    </cfRule>
    <cfRule type="expression" dxfId="94" priority="88">
      <formula>MOD(ROW(A4),4)&lt;2</formula>
    </cfRule>
    <cfRule type="expression" dxfId="93" priority="89">
      <formula>MOD(ROW(A6),4)&lt;2</formula>
    </cfRule>
  </conditionalFormatting>
  <conditionalFormatting sqref="B11:B12">
    <cfRule type="expression" dxfId="92" priority="85">
      <formula>AND(ISBLANK(B11)=FALSE,MOD(ROW(),2)=0)</formula>
    </cfRule>
  </conditionalFormatting>
  <conditionalFormatting sqref="T11:AC12">
    <cfRule type="expression" dxfId="91" priority="84">
      <formula>AND(ISBLANK(T11)=FALSE,MOD(ROW(),2)=0)</formula>
    </cfRule>
  </conditionalFormatting>
  <conditionalFormatting sqref="B19">
    <cfRule type="expression" dxfId="90" priority="83">
      <formula>AND(ISBLANK(B19)=FALSE,MOD(ROW(),2)=0)</formula>
    </cfRule>
  </conditionalFormatting>
  <conditionalFormatting sqref="B21">
    <cfRule type="expression" dxfId="89" priority="82">
      <formula>AND(ISBLANK(B21)=FALSE,MOD(ROW(),2)=0)</formula>
    </cfRule>
  </conditionalFormatting>
  <conditionalFormatting sqref="J37 J35">
    <cfRule type="expression" dxfId="88" priority="81">
      <formula>AND(ISBLANK(J35)=FALSE,MOD(ROW(),2)=0)</formula>
    </cfRule>
  </conditionalFormatting>
  <conditionalFormatting sqref="J29 J31">
    <cfRule type="expression" dxfId="87" priority="80">
      <formula>AND(ISBLANK(J29)=FALSE,MOD(ROW(),2)=0)</formula>
    </cfRule>
  </conditionalFormatting>
  <conditionalFormatting sqref="J33">
    <cfRule type="expression" dxfId="86" priority="79">
      <formula>AND(ISBLANK(J33)=FALSE,MOD(ROW(),2)=0)</formula>
    </cfRule>
  </conditionalFormatting>
  <conditionalFormatting sqref="J39">
    <cfRule type="expression" dxfId="85" priority="78">
      <formula>AND(ISBLANK(J39)=FALSE,MOD(ROW(),2)=0)</formula>
    </cfRule>
  </conditionalFormatting>
  <conditionalFormatting sqref="I37 I35">
    <cfRule type="expression" dxfId="84" priority="77">
      <formula>AND(ISBLANK(I35)=FALSE,MOD(ROW(),2)=0)</formula>
    </cfRule>
  </conditionalFormatting>
  <conditionalFormatting sqref="I29 I31">
    <cfRule type="expression" dxfId="83" priority="76">
      <formula>AND(ISBLANK(I29)=FALSE,MOD(ROW(),2)=0)</formula>
    </cfRule>
  </conditionalFormatting>
  <conditionalFormatting sqref="I33">
    <cfRule type="expression" dxfId="82" priority="75">
      <formula>AND(ISBLANK(I33)=FALSE,MOD(ROW(),2)=0)</formula>
    </cfRule>
  </conditionalFormatting>
  <conditionalFormatting sqref="I39">
    <cfRule type="expression" dxfId="81" priority="74">
      <formula>AND(ISBLANK(I39)=FALSE,MOD(ROW(),2)=0)</formula>
    </cfRule>
  </conditionalFormatting>
  <conditionalFormatting sqref="D41 D43 D45 D47 D49 D59 D61 D63 D65 D67 D51 D53 D55 D57 D77 D79 D81 D83 D85 D69 D71 D73 D75 D87 D89 D91 D93 D95 D97 D99 D101 D103 D105 D107 D109 D111 D113">
    <cfRule type="expression" dxfId="80" priority="73">
      <formula>AND(ISBLANK(D41)=FALSE,MOD(ROW(),2)=0)</formula>
    </cfRule>
  </conditionalFormatting>
  <conditionalFormatting sqref="AL3:AL52 AL59:AL68 AL77:AL86 AL95:AL1000">
    <cfRule type="expression" dxfId="79" priority="70">
      <formula>MOD(ROW(AL4),2)=0</formula>
    </cfRule>
    <cfRule type="expression" dxfId="78" priority="71">
      <formula>MOD(ROW(AL4),4)&lt;2</formula>
    </cfRule>
    <cfRule type="expression" dxfId="77" priority="72">
      <formula>MOD(ROW(AL6),4)&lt;2</formula>
    </cfRule>
  </conditionalFormatting>
  <conditionalFormatting sqref="AM3:AM52 AM59:AM68 AM77:AM86 AM95:AM1000">
    <cfRule type="expression" dxfId="76" priority="67">
      <formula>MOD(ROW(AM4),2)=0</formula>
    </cfRule>
    <cfRule type="expression" dxfId="75" priority="68">
      <formula>MOD(ROW(AM4),4)&lt;2</formula>
    </cfRule>
    <cfRule type="expression" dxfId="74" priority="69">
      <formula>MOD(ROW(AM6),4)&lt;2</formula>
    </cfRule>
  </conditionalFormatting>
  <conditionalFormatting sqref="AN3:AN50 AN59:AN68 AN77:AN86 AN95:AN1000">
    <cfRule type="expression" dxfId="73" priority="64">
      <formula>MOD(ROW(AN4),2)=0</formula>
    </cfRule>
    <cfRule type="expression" dxfId="72" priority="65">
      <formula>MOD(ROW(AN4),4)&lt;2</formula>
    </cfRule>
    <cfRule type="expression" dxfId="71" priority="66">
      <formula>MOD(ROW(AN6),4)&lt;2</formula>
    </cfRule>
  </conditionalFormatting>
  <conditionalFormatting sqref="AN51:AN52">
    <cfRule type="expression" dxfId="70" priority="61">
      <formula>MOD(ROW(AN52),2)=0</formula>
    </cfRule>
    <cfRule type="expression" dxfId="69" priority="62">
      <formula>MOD(ROW(AN52),4)&lt;2</formula>
    </cfRule>
    <cfRule type="expression" dxfId="68" priority="63">
      <formula>MOD(ROW(AN54),4)&lt;2</formula>
    </cfRule>
  </conditionalFormatting>
  <conditionalFormatting sqref="AI53:AK58">
    <cfRule type="expression" dxfId="67" priority="58">
      <formula>MOD(ROW(AI54),2)=0</formula>
    </cfRule>
    <cfRule type="expression" dxfId="66" priority="59">
      <formula>MOD(ROW(AI54),4)&lt;2</formula>
    </cfRule>
    <cfRule type="expression" dxfId="65" priority="60">
      <formula>MOD(ROW(AI56),4)&lt;2</formula>
    </cfRule>
  </conditionalFormatting>
  <conditionalFormatting sqref="AL53:AL58">
    <cfRule type="expression" dxfId="64" priority="55">
      <formula>MOD(ROW(AL54),2)=0</formula>
    </cfRule>
    <cfRule type="expression" dxfId="63" priority="56">
      <formula>MOD(ROW(AL54),4)&lt;2</formula>
    </cfRule>
    <cfRule type="expression" dxfId="62" priority="57">
      <formula>MOD(ROW(AL56),4)&lt;2</formula>
    </cfRule>
  </conditionalFormatting>
  <conditionalFormatting sqref="AM53:AM58">
    <cfRule type="expression" dxfId="61" priority="52">
      <formula>MOD(ROW(AM54),2)=0</formula>
    </cfRule>
    <cfRule type="expression" dxfId="60" priority="53">
      <formula>MOD(ROW(AM54),4)&lt;2</formula>
    </cfRule>
    <cfRule type="expression" dxfId="59" priority="54">
      <formula>MOD(ROW(AM56),4)&lt;2</formula>
    </cfRule>
  </conditionalFormatting>
  <conditionalFormatting sqref="AN53:AN58">
    <cfRule type="expression" dxfId="58" priority="49">
      <formula>MOD(ROW(AN54),2)=0</formula>
    </cfRule>
    <cfRule type="expression" dxfId="57" priority="50">
      <formula>MOD(ROW(AN54),4)&lt;2</formula>
    </cfRule>
    <cfRule type="expression" dxfId="56" priority="51">
      <formula>MOD(ROW(AN56),4)&lt;2</formula>
    </cfRule>
  </conditionalFormatting>
  <conditionalFormatting sqref="AN89:AN94">
    <cfRule type="expression" dxfId="55" priority="1">
      <formula>MOD(ROW(AN90),2)=0</formula>
    </cfRule>
    <cfRule type="expression" dxfId="54" priority="2">
      <formula>MOD(ROW(AN90),4)&lt;2</formula>
    </cfRule>
    <cfRule type="expression" dxfId="53" priority="3">
      <formula>MOD(ROW(AN92),4)&lt;2</formula>
    </cfRule>
  </conditionalFormatting>
  <conditionalFormatting sqref="AI69:AK70">
    <cfRule type="expression" dxfId="52" priority="46">
      <formula>MOD(ROW(AI70),2)=0</formula>
    </cfRule>
    <cfRule type="expression" dxfId="51" priority="47">
      <formula>MOD(ROW(AI70),4)&lt;2</formula>
    </cfRule>
    <cfRule type="expression" dxfId="50" priority="48">
      <formula>MOD(ROW(AI72),4)&lt;2</formula>
    </cfRule>
  </conditionalFormatting>
  <conditionalFormatting sqref="AL69:AL70">
    <cfRule type="expression" dxfId="49" priority="43">
      <formula>MOD(ROW(AL70),2)=0</formula>
    </cfRule>
    <cfRule type="expression" dxfId="48" priority="44">
      <formula>MOD(ROW(AL70),4)&lt;2</formula>
    </cfRule>
    <cfRule type="expression" dxfId="47" priority="45">
      <formula>MOD(ROW(AL72),4)&lt;2</formula>
    </cfRule>
  </conditionalFormatting>
  <conditionalFormatting sqref="AM69:AM70">
    <cfRule type="expression" dxfId="46" priority="40">
      <formula>MOD(ROW(AM70),2)=0</formula>
    </cfRule>
    <cfRule type="expression" dxfId="45" priority="41">
      <formula>MOD(ROW(AM70),4)&lt;2</formula>
    </cfRule>
    <cfRule type="expression" dxfId="44" priority="42">
      <formula>MOD(ROW(AM72),4)&lt;2</formula>
    </cfRule>
  </conditionalFormatting>
  <conditionalFormatting sqref="AN69:AN70">
    <cfRule type="expression" dxfId="43" priority="37">
      <formula>MOD(ROW(AN70),2)=0</formula>
    </cfRule>
    <cfRule type="expression" dxfId="42" priority="38">
      <formula>MOD(ROW(AN70),4)&lt;2</formula>
    </cfRule>
    <cfRule type="expression" dxfId="41" priority="39">
      <formula>MOD(ROW(AN72),4)&lt;2</formula>
    </cfRule>
  </conditionalFormatting>
  <conditionalFormatting sqref="AI71:AK76">
    <cfRule type="expression" dxfId="40" priority="34">
      <formula>MOD(ROW(AI72),2)=0</formula>
    </cfRule>
    <cfRule type="expression" dxfId="39" priority="35">
      <formula>MOD(ROW(AI72),4)&lt;2</formula>
    </cfRule>
    <cfRule type="expression" dxfId="38" priority="36">
      <formula>MOD(ROW(AI74),4)&lt;2</formula>
    </cfRule>
  </conditionalFormatting>
  <conditionalFormatting sqref="AL71:AL76">
    <cfRule type="expression" dxfId="37" priority="31">
      <formula>MOD(ROW(AL72),2)=0</formula>
    </cfRule>
    <cfRule type="expression" dxfId="36" priority="32">
      <formula>MOD(ROW(AL72),4)&lt;2</formula>
    </cfRule>
    <cfRule type="expression" dxfId="35" priority="33">
      <formula>MOD(ROW(AL74),4)&lt;2</formula>
    </cfRule>
  </conditionalFormatting>
  <conditionalFormatting sqref="AM71:AM76">
    <cfRule type="expression" dxfId="34" priority="28">
      <formula>MOD(ROW(AM72),2)=0</formula>
    </cfRule>
    <cfRule type="expression" dxfId="33" priority="29">
      <formula>MOD(ROW(AM72),4)&lt;2</formula>
    </cfRule>
    <cfRule type="expression" dxfId="32" priority="30">
      <formula>MOD(ROW(AM74),4)&lt;2</formula>
    </cfRule>
  </conditionalFormatting>
  <conditionalFormatting sqref="AN71:AN76">
    <cfRule type="expression" dxfId="31" priority="25">
      <formula>MOD(ROW(AN72),2)=0</formula>
    </cfRule>
    <cfRule type="expression" dxfId="30" priority="26">
      <formula>MOD(ROW(AN72),4)&lt;2</formula>
    </cfRule>
    <cfRule type="expression" dxfId="29" priority="27">
      <formula>MOD(ROW(AN74),4)&lt;2</formula>
    </cfRule>
  </conditionalFormatting>
  <conditionalFormatting sqref="AI87:AK88">
    <cfRule type="expression" dxfId="28" priority="22">
      <formula>MOD(ROW(AI88),2)=0</formula>
    </cfRule>
    <cfRule type="expression" dxfId="27" priority="23">
      <formula>MOD(ROW(AI88),4)&lt;2</formula>
    </cfRule>
    <cfRule type="expression" dxfId="26" priority="24">
      <formula>MOD(ROW(AI90),4)&lt;2</formula>
    </cfRule>
  </conditionalFormatting>
  <conditionalFormatting sqref="AL87:AL88">
    <cfRule type="expression" dxfId="25" priority="19">
      <formula>MOD(ROW(AL88),2)=0</formula>
    </cfRule>
    <cfRule type="expression" dxfId="24" priority="20">
      <formula>MOD(ROW(AL88),4)&lt;2</formula>
    </cfRule>
    <cfRule type="expression" dxfId="23" priority="21">
      <formula>MOD(ROW(AL90),4)&lt;2</formula>
    </cfRule>
  </conditionalFormatting>
  <conditionalFormatting sqref="AM87:AM88">
    <cfRule type="expression" dxfId="22" priority="16">
      <formula>MOD(ROW(AM88),2)=0</formula>
    </cfRule>
    <cfRule type="expression" dxfId="21" priority="17">
      <formula>MOD(ROW(AM88),4)&lt;2</formula>
    </cfRule>
    <cfRule type="expression" dxfId="20" priority="18">
      <formula>MOD(ROW(AM90),4)&lt;2</formula>
    </cfRule>
  </conditionalFormatting>
  <conditionalFormatting sqref="AN87:AN88">
    <cfRule type="expression" dxfId="19" priority="13">
      <formula>MOD(ROW(AN88),2)=0</formula>
    </cfRule>
    <cfRule type="expression" dxfId="18" priority="14">
      <formula>MOD(ROW(AN88),4)&lt;2</formula>
    </cfRule>
    <cfRule type="expression" dxfId="17" priority="15">
      <formula>MOD(ROW(AN90),4)&lt;2</formula>
    </cfRule>
  </conditionalFormatting>
  <conditionalFormatting sqref="AI89:AK94">
    <cfRule type="expression" dxfId="16" priority="10">
      <formula>MOD(ROW(AI90),2)=0</formula>
    </cfRule>
    <cfRule type="expression" dxfId="15" priority="11">
      <formula>MOD(ROW(AI90),4)&lt;2</formula>
    </cfRule>
    <cfRule type="expression" dxfId="14" priority="12">
      <formula>MOD(ROW(AI92),4)&lt;2</formula>
    </cfRule>
  </conditionalFormatting>
  <conditionalFormatting sqref="AL89:AL94">
    <cfRule type="expression" dxfId="13" priority="7">
      <formula>MOD(ROW(AL90),2)=0</formula>
    </cfRule>
    <cfRule type="expression" dxfId="12" priority="8">
      <formula>MOD(ROW(AL90),4)&lt;2</formula>
    </cfRule>
    <cfRule type="expression" dxfId="11" priority="9">
      <formula>MOD(ROW(AL92),4)&lt;2</formula>
    </cfRule>
  </conditionalFormatting>
  <conditionalFormatting sqref="AM89:AM94">
    <cfRule type="expression" dxfId="10" priority="4">
      <formula>MOD(ROW(AM90),2)=0</formula>
    </cfRule>
    <cfRule type="expression" dxfId="9" priority="5">
      <formula>MOD(ROW(AM90),4)&lt;2</formula>
    </cfRule>
    <cfRule type="expression" dxfId="8" priority="6">
      <formula>MOD(ROW(AM92),4)&lt;2</formula>
    </cfRule>
  </conditionalFormatting>
  <dataValidations count="1">
    <dataValidation type="list" allowBlank="1" showInputMessage="1" showErrorMessage="1" sqref="C1:C1048576" xr:uid="{7AC1645B-6BEB-4F13-AC18-E816A90EC22D}">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0B937C8E-BDD4-45DE-8DD0-66C0FC770450}">
          <x14:formula1>
            <xm:f>Sheet2!$E$35:$E$51</xm:f>
          </x14:formula1>
          <xm:sqref>AD1:AN1048576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C8AE49-7E92-4E43-AA2A-E7A2BB6EAA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backup_Sheet1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XueQiu Wu</dc:creator>
  <cp:lastModifiedBy>wan</cp:lastModifiedBy>
  <dcterms:created xsi:type="dcterms:W3CDTF">2015-06-05T18:19:34Z</dcterms:created>
  <dcterms:modified xsi:type="dcterms:W3CDTF">2021-06-15T16:06:25Z</dcterms:modified>
</cp:coreProperties>
</file>