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8FB44626-F939-4718-8594-4AD7D75931C7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6" r:id="rId3"/>
  </sheets>
  <definedNames>
    <definedName name="_xlnm._FilterDatabase" localSheetId="2" hidden="1">backup_Sheet1!$A$1:$AD$38</definedName>
    <definedName name="_xlnm._FilterDatabase" localSheetId="0" hidden="1">Sheet1!$A$1:$AD$38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  <c r="D15" i="1"/>
  <c r="D17" i="1"/>
  <c r="D11" i="1"/>
  <c r="D5" i="1"/>
  <c r="D7" i="1"/>
  <c r="D9" i="1"/>
  <c r="D3" i="1"/>
  <c r="D21" i="6"/>
  <c r="D19" i="6"/>
  <c r="D17" i="6"/>
  <c r="D15" i="6"/>
  <c r="D13" i="6"/>
  <c r="D11" i="6"/>
  <c r="D9" i="6"/>
  <c r="D7" i="6"/>
  <c r="D5" i="6"/>
  <c r="D3" i="6"/>
  <c r="D19" i="1"/>
  <c r="D21" i="1"/>
  <c r="I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<sst xmlns="http://schemas.openxmlformats.org/spreadsheetml/2006/main" count="598" uniqueCount="288">
  <si>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</si>
  <si>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</si>
  <si>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</si>
  <si>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</si>
  <si>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</si>
  <si>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</si>
  <si>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</si>
  <si>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</si>
  <si>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</si>
  <si>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</si>
  <si>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</si>
  <si>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</si>
  <si>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</si>
  <si>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</si>
  <si>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</si>
  <si>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</si>
  <si>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</si>
  <si>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</si>
  <si>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</si>
  <si>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</si>
  <si>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</si>
  <si>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</si>
  <si>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</si>
  <si>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</si>
  <si>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</si>
  <si>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</si>
  <si>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</si>
  <si>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</si>
  <si>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</si>
  <si>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</si>
  <si>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</si>
  <si>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</si>
  <si>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</si>
  <si>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</si>
  <si>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</si>
  <si>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</si>
  <si>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</si>
  <si>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</si>
  <si>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</si>
  <si>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</si>
  <si>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</si>
  <si>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</si>
  <si>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</si>
  <si>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</si>
  <si>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</si>
  <si>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</si>
  <si>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</si>
  <si>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</si>
  <si>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</si>
  <si>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</si>
  <si>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</si>
  <si>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</si>
  <si>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</si>
  <si>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</si>
  <si>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</si>
  <si>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</si>
  <si>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</si>
  <si>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</si>
  <si>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</si>
  <si>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</si>
  <si>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</si>
  <si>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</si>
  <si>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</si>
  <si>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</si>
  <si>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</si>
  <si>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</si>
  <si>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</si>
  <si>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</si>
  <si>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</si>
  <si>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</si>
  <si>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</si>
  <si>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</si>
  <si>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</si>
  <si>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</si>
  <si>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</si>
  <si>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</si>
  <si>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</si>
  <si>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</si>
  <si>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</si>
  <si>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</si>
  <si>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</si>
  <si>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</si>
  <si>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</si>
  <si>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</si>
  <si>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</si>
  <si>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</si>
  <si>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</si>
  <si>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</si>
  <si>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</si>
  <si>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</si>
  <si>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</si>
  <si>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</si>
  <si>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</si>
  <si>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</si>
  <si>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</si>
  <si>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</si>
  <si>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</si>
  <si>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</si>
  <si>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</si>
  <si>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</si>
  <si>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</si>
  <si>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</si>
  <si>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</si>
  <si>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</si>
  <si>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</si>
  <si>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</si>
  <si>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</si>
  <si>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</si>
  <si>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</si>
  <si>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</si>
  <si>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</si>
  <si>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</si>
  <si>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</si>
  <si>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</si>
  <si>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</si>
  <si>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</si>
  <si>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</si>
  <si>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</si>
  <si>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</si>
  <si>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</si>
  <si>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</si>
  <si>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</si>
  <si>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</si>
  <si>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</si>
  <si>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</si>
  <si>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</si>
  <si>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</si>
  <si>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</si>
  <si>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</si>
  <si>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</si>
  <si>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</si>
  <si>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</si>
  <si>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</si>
  <si>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</si>
  <si>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</si>
  <si>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</si>
  <si>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</si>
  <si>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</si>
  <si>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</si>
  <si>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</si>
  <si>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</si>
  <si>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</si>
  <si>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</si>
  <si>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</si>
  <si>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</si>
  <si>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</si>
  <si>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</si>
  <si>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</si>
  <si>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</si>
  <si>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</si>
  <si>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</si>
  <si>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</si>
  <si>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</si>
  <si>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</si>
  <si>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</si>
  <si>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</si>
  <si>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</si>
  <si>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</si>
  <si>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</si>
  <si>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</si>
  <si>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</si>
  <si>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</si>
  <si>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</si>
  <si>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</si>
  <si>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</si>
  <si>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</si>
  <si>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</si>
  <si>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</si>
  <si>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</si>
  <si>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</si>
  <si>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</si>
  <si>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</si>
  <si>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</si>
  <si>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</si>
  <si>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</si>
  <si>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</si>
  <si>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</si>
  <si>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</si>
  <si>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</si>
  <si>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</si>
  <si>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</si>
  <si>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</si>
  <si>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</si>
  <si>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</si>
  <si>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</si>
  <si>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基础等级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</si>
  <si>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</si>
  <si>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</si>
  <si>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</si>
  <si>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</si>
  <si>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item_essence_str_1</t>
    <phoneticPr fontId="1" type="noConversion"/>
  </si>
  <si>
    <t>DOTA_ABILITY_BEHAVIOR_IMMEDIATE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</si>
  <si>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</si>
  <si>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</si>
  <si>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</si>
  <si>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ItemCastOnPickup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</si>
  <si>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</si>
  <si>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</si>
  <si>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</si>
  <si>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</si>
  <si>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</si>
  <si>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</si>
  <si>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</si>
  <si>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</si>
  <si>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</si>
  <si>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item_lua</t>
    <phoneticPr fontId="1" type="noConversion"/>
  </si>
  <si>
    <t>Model</t>
  </si>
  <si>
    <t>Effect</t>
  </si>
  <si>
    <t>AbilityCastRange</t>
  </si>
  <si>
    <t>AbilityUnitTargetType</t>
    <phoneticPr fontId="1" type="noConversion"/>
  </si>
  <si>
    <t>目标类型</t>
    <phoneticPr fontId="1" type="noConversion"/>
  </si>
  <si>
    <t>AbilityUnitTargetFlags</t>
    <phoneticPr fontId="1" type="noConversion"/>
  </si>
  <si>
    <t>目标标记</t>
    <phoneticPr fontId="1" type="noConversion"/>
  </si>
  <si>
    <t>施法距离</t>
    <phoneticPr fontId="1" type="noConversion"/>
  </si>
  <si>
    <t>item_clarity1</t>
  </si>
  <si>
    <t>item_clarity1</t>
    <phoneticPr fontId="1" type="noConversion"/>
  </si>
  <si>
    <t>小净化药水</t>
    <phoneticPr fontId="1" type="noConversion"/>
  </si>
  <si>
    <t>中净化药水</t>
    <phoneticPr fontId="1" type="noConversion"/>
  </si>
  <si>
    <t>大净化药水</t>
    <phoneticPr fontId="1" type="noConversion"/>
  </si>
  <si>
    <t>超净化药水</t>
    <phoneticPr fontId="1" type="noConversion"/>
  </si>
  <si>
    <t>Note</t>
    <phoneticPr fontId="1" type="noConversion"/>
  </si>
  <si>
    <t>item_clarity2</t>
  </si>
  <si>
    <t>item_clarity3</t>
  </si>
  <si>
    <t>item_clarity4</t>
  </si>
  <si>
    <t>item_clarity2</t>
    <phoneticPr fontId="1" type="noConversion"/>
  </si>
  <si>
    <t>models/props_gameplay/clarity.vmdl</t>
    <phoneticPr fontId="1" type="noConversion"/>
  </si>
  <si>
    <t>模型</t>
    <phoneticPr fontId="1" type="noConversion"/>
  </si>
  <si>
    <t>特效</t>
    <phoneticPr fontId="1" type="noConversion"/>
  </si>
  <si>
    <t>DOTA_ABILITY_BEHAVIOR_IMMEDIATE | DOTA_ABILITY_BEHAVIOR_NO_TARGET | DOTA_ABILITY_BEHAVIOR_DONT_RESUME_ATTACK</t>
    <phoneticPr fontId="1" type="noConversion"/>
  </si>
  <si>
    <t>total_mana</t>
    <phoneticPr fontId="1" type="noConversion"/>
  </si>
  <si>
    <t>mana_per_tick</t>
    <phoneticPr fontId="1" type="noConversion"/>
  </si>
  <si>
    <t>buff_duration</t>
    <phoneticPr fontId="1" type="noConversion"/>
  </si>
  <si>
    <t>ItemQuality</t>
    <phoneticPr fontId="1" type="noConversion"/>
  </si>
  <si>
    <t>consumable</t>
    <phoneticPr fontId="1" type="noConversion"/>
  </si>
  <si>
    <t>品质</t>
    <phoneticPr fontId="1" type="noConversion"/>
  </si>
  <si>
    <t>ItemShareability</t>
    <phoneticPr fontId="1" type="noConversion"/>
  </si>
  <si>
    <t>ITEM_FULLY_SHAREABLE_STACKING</t>
    <phoneticPr fontId="1" type="noConversion"/>
  </si>
  <si>
    <t>共享</t>
    <phoneticPr fontId="1" type="noConversion"/>
  </si>
  <si>
    <t>item_salve1</t>
    <phoneticPr fontId="1" type="noConversion"/>
  </si>
  <si>
    <t>models/props_gameplay/salve_red.vmdl</t>
  </si>
  <si>
    <t>item_salve2</t>
  </si>
  <si>
    <t>item_salve3</t>
  </si>
  <si>
    <t>item_salve4</t>
  </si>
  <si>
    <t>小回复药水</t>
  </si>
  <si>
    <t>中回复药水</t>
  </si>
  <si>
    <t>大回复药水</t>
  </si>
  <si>
    <t>超回复药水</t>
  </si>
  <si>
    <t>total_hp</t>
    <phoneticPr fontId="1" type="noConversion"/>
  </si>
  <si>
    <t>hp_per_tick</t>
    <phoneticPr fontId="1" type="noConversion"/>
  </si>
  <si>
    <t>item_salve1_pack</t>
    <phoneticPr fontId="1" type="noConversion"/>
  </si>
  <si>
    <t>小回复药水包</t>
    <phoneticPr fontId="1" type="noConversion"/>
  </si>
  <si>
    <t>item_clarity1_pack</t>
    <phoneticPr fontId="1" type="noConversion"/>
  </si>
  <si>
    <t>小净化药水包</t>
    <phoneticPr fontId="1" type="noConversion"/>
  </si>
  <si>
    <t>count</t>
    <phoneticPr fontId="1" type="noConversion"/>
  </si>
  <si>
    <t>item_str_book</t>
    <phoneticPr fontId="1" type="noConversion"/>
  </si>
  <si>
    <t>item_str_book_pack</t>
    <phoneticPr fontId="1" type="noConversion"/>
  </si>
  <si>
    <t>item_str_book_pack_100</t>
    <phoneticPr fontId="1" type="noConversion"/>
  </si>
  <si>
    <t>力量之书</t>
    <phoneticPr fontId="1" type="noConversion"/>
  </si>
  <si>
    <t>力量之书捆绑包</t>
    <phoneticPr fontId="1" type="noConversion"/>
  </si>
  <si>
    <t>力量之书超大捆绑包</t>
    <phoneticPr fontId="1" type="noConversion"/>
  </si>
  <si>
    <t>item_datadriven</t>
  </si>
  <si>
    <t>item_agi_book_pack</t>
    <phoneticPr fontId="1" type="noConversion"/>
  </si>
  <si>
    <t>item_int_book_pack</t>
    <phoneticPr fontId="1" type="noConversion"/>
  </si>
  <si>
    <t>虚幻之书</t>
    <phoneticPr fontId="1" type="noConversion"/>
  </si>
  <si>
    <t>魔力之书</t>
    <phoneticPr fontId="1" type="noConversion"/>
  </si>
  <si>
    <t>虚幻之书捆绑包</t>
    <phoneticPr fontId="1" type="noConversion"/>
  </si>
  <si>
    <t>魔力之书捆绑包</t>
    <phoneticPr fontId="1" type="noConversion"/>
  </si>
  <si>
    <t>item_agi_book_pack_100</t>
    <phoneticPr fontId="1" type="noConversion"/>
  </si>
  <si>
    <t>item_int_book_pack_100</t>
    <phoneticPr fontId="1" type="noConversion"/>
  </si>
  <si>
    <t>虚幻之书超大捆绑包</t>
    <phoneticPr fontId="1" type="noConversion"/>
  </si>
  <si>
    <t>魔力之书超大捆绑包</t>
    <phoneticPr fontId="1" type="noConversion"/>
  </si>
  <si>
    <t>item_clarity3</t>
    <phoneticPr fontId="1" type="noConversion"/>
  </si>
  <si>
    <t>item_clarity4</t>
    <phoneticPr fontId="1" type="noConversion"/>
  </si>
  <si>
    <t>item_salve2</t>
    <phoneticPr fontId="1" type="noConversion"/>
  </si>
  <si>
    <t>item_salve3</t>
    <phoneticPr fontId="1" type="noConversion"/>
  </si>
  <si>
    <t>item_salve4</t>
    <phoneticPr fontId="1" type="noConversion"/>
  </si>
  <si>
    <t>小回复药水</t>
    <phoneticPr fontId="1" type="noConversion"/>
  </si>
  <si>
    <t>中回复药水</t>
    <phoneticPr fontId="1" type="noConversion"/>
  </si>
  <si>
    <t>大回复药水</t>
    <phoneticPr fontId="1" type="noConversion"/>
  </si>
  <si>
    <t>超回复药水</t>
    <phoneticPr fontId="1" type="noConversion"/>
  </si>
  <si>
    <t>item_datadriven</t>
    <phoneticPr fontId="1" type="noConversion"/>
  </si>
  <si>
    <t>ID</t>
  </si>
  <si>
    <t>Model</t>
    <phoneticPr fontId="1" type="noConversion"/>
  </si>
  <si>
    <t>models/props_gameplay/salve_red.vmdl</t>
    <phoneticPr fontId="1" type="noConversion"/>
  </si>
  <si>
    <t>Effect</t>
    <phoneticPr fontId="1" type="noConversion"/>
  </si>
  <si>
    <t>AbilityCastRange</t>
    <phoneticPr fontId="1" type="noConversion"/>
  </si>
  <si>
    <t>item_agi_book</t>
    <phoneticPr fontId="1" type="noConversion"/>
  </si>
  <si>
    <t>item_int_book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</si>
</sst>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</cellXfs>
  <cellStyles count="1">
    <cellStyle name="常规" xfId="0" builtinId="0"/>
  </cellStyles>
  <dxfs count="2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0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31" sqref="D31"/>
    </sheetView>
  </sheetViews>
  <sheetFormatPr defaultColWidth="9" defaultRowHeight="14.25" x14ac:dyDescent="0.2"/>
  <cols>
    <col min="1" max="1" width="17.125" style="3" bestFit="1" customWidth="1"/>
    <col min="2" max="2" width="16.25" style="3" customWidth="1"/>
    <col min="3" max="3" width="9.25" style="3" bestFit="1" customWidth="1"/>
    <col min="4" max="4" width="36.125" style="3" customWidth="1"/>
    <col min="5" max="5" width="11.25" style="3" customWidth="1"/>
    <col min="6" max="6" width="12.5" style="3" customWidth="1"/>
    <col min="7" max="7" width="12.625" style="3" customWidth="1"/>
    <col min="8" max="8" width="17.75" style="3" bestFit="1" customWidth="1"/>
    <col min="9" max="13" width="17.75" style="3" customWidth="1"/>
    <col min="14" max="14" width="16.5" style="3" bestFit="1" customWidth="1"/>
    <col min="15" max="15" width="13" style="3" bestFit="1" customWidth="1"/>
    <col min="16" max="16" width="8.75" style="3" bestFit="1" customWidth="1"/>
    <col min="17" max="17" width="11.125" style="3" bestFit="1" customWidth="1"/>
    <col min="18" max="18" width="15.125" style="3" bestFit="1" customWidth="1"/>
    <col min="19" max="19" width="14.125" style="3" bestFit="1" customWidth="1"/>
    <col min="20" max="20" width="12.875" style="3" bestFit="1" customWidth="1"/>
    <col min="21" max="23" width="12.875" style="3" customWidth="1"/>
    <col min="24" max="30" width="12.125" style="1" bestFit="1" customWidth="1"/>
    <col min="31" max="31" width="12.75" style="1" bestFit="1" customWidth="1"/>
    <col min="32" max="16384" width="9" style="3"/>
  </cols>
  <sheetData>
    <row r="1" spans="1:31" s="6" customFormat="1" x14ac:dyDescent="0.2">
      <c r="A1" s="6" t="s">
        <v>163</v>
      </c>
      <c r="B1" s="6" t="s">
        <v>164</v>
      </c>
      <c r="C1" s="6" t="s">
        <v>165</v>
      </c>
      <c r="D1" s="6" t="s">
        <v>166</v>
      </c>
      <c r="F1" s="6" t="s">
        <v>226</v>
      </c>
      <c r="G1" s="6" t="s">
        <v>227</v>
      </c>
      <c r="H1" s="6" t="s">
        <v>167</v>
      </c>
      <c r="I1" s="6" t="s">
        <v>234</v>
      </c>
      <c r="J1" s="6" t="s">
        <v>237</v>
      </c>
      <c r="K1" s="6" t="s">
        <v>4</v>
      </c>
      <c r="L1" s="6" t="s">
        <v>210</v>
      </c>
      <c r="M1" s="6" t="s">
        <v>212</v>
      </c>
      <c r="N1" s="6" t="s">
        <v>168</v>
      </c>
      <c r="O1" s="6" t="s">
        <v>185</v>
      </c>
      <c r="P1" s="6" t="s">
        <v>192</v>
      </c>
      <c r="Q1" s="6" t="s">
        <v>186</v>
      </c>
      <c r="R1" s="6" t="s">
        <v>187</v>
      </c>
      <c r="S1" s="6" t="s">
        <v>188</v>
      </c>
      <c r="T1" s="6" t="s">
        <v>189</v>
      </c>
      <c r="U1" s="6" t="s">
        <v>193</v>
      </c>
      <c r="V1" s="6" t="s">
        <v>194</v>
      </c>
      <c r="W1" s="6" t="s">
        <v>213</v>
      </c>
      <c r="X1" s="6" t="s">
        <v>169</v>
      </c>
      <c r="Y1" s="6" t="s">
        <v>169</v>
      </c>
      <c r="Z1" s="6" t="s">
        <v>169</v>
      </c>
      <c r="AA1" s="6" t="s">
        <v>169</v>
      </c>
      <c r="AB1" s="6" t="s">
        <v>169</v>
      </c>
      <c r="AC1" s="6" t="s">
        <v>169</v>
      </c>
      <c r="AD1" s="6" t="s">
        <v>169</v>
      </c>
      <c r="AE1" s="6" t="s">
        <v>169</v>
      </c>
    </row>
    <row r="2" spans="1:31" s="6" customFormat="1" x14ac:dyDescent="0.2">
      <c r="A2" s="6" t="s">
        <v>170</v>
      </c>
      <c r="B2" s="6" t="s">
        <v>220</v>
      </c>
      <c r="C2" s="6" t="s">
        <v>171</v>
      </c>
      <c r="D2" s="6" t="s">
        <v>172</v>
      </c>
      <c r="E2" s="6" t="s">
        <v>281</v>
      </c>
      <c r="F2" s="6" t="s">
        <v>282</v>
      </c>
      <c r="G2" s="6" t="s">
        <v>284</v>
      </c>
      <c r="H2" s="6" t="s">
        <v>173</v>
      </c>
      <c r="I2" s="6" t="s">
        <v>232</v>
      </c>
      <c r="J2" s="6" t="s">
        <v>235</v>
      </c>
      <c r="K2" s="6" t="s">
        <v>1</v>
      </c>
      <c r="L2" s="6" t="s">
        <v>209</v>
      </c>
      <c r="M2" s="6" t="s">
        <v>211</v>
      </c>
      <c r="N2" s="6" t="s">
        <v>197</v>
      </c>
      <c r="O2" s="6" t="s">
        <v>198</v>
      </c>
      <c r="P2" s="6" t="s">
        <v>199</v>
      </c>
      <c r="Q2" s="6" t="s">
        <v>200</v>
      </c>
      <c r="R2" s="6" t="s">
        <v>201</v>
      </c>
      <c r="S2" s="6" t="s">
        <v>202</v>
      </c>
      <c r="T2" s="6" t="s">
        <v>203</v>
      </c>
      <c r="U2" s="6" t="s">
        <v>195</v>
      </c>
      <c r="V2" s="6" t="s">
        <v>204</v>
      </c>
      <c r="W2" s="6" t="s">
        <v>285</v>
      </c>
      <c r="X2" s="6" t="s">
        <v>175</v>
      </c>
      <c r="Y2" s="6" t="s">
        <v>175</v>
      </c>
      <c r="Z2" s="6" t="s">
        <v>175</v>
      </c>
      <c r="AA2" s="6" t="s">
        <v>175</v>
      </c>
      <c r="AB2" s="6" t="s">
        <v>175</v>
      </c>
      <c r="AC2" s="6" t="s">
        <v>175</v>
      </c>
      <c r="AD2" s="6" t="s">
        <v>175</v>
      </c>
      <c r="AE2" s="6" t="s">
        <v>175</v>
      </c>
    </row>
    <row r="3" spans="1:31" x14ac:dyDescent="0.2">
      <c r="A3" s="9" t="s">
        <v>215</v>
      </c>
      <c r="B3" s="3" t="s">
        <v>216</v>
      </c>
      <c r="C3" s="3" t="s">
        <v>205</v>
      </c>
      <c r="D3" s="4" t="str">
        <f>"abilities/items/"&amp;I3&amp;"/item_clarity"</f>
        <v>abilities/items/consumable/item_clarity</v>
      </c>
      <c r="E3" s="4"/>
      <c r="F3" s="4" t="s">
        <v>225</v>
      </c>
      <c r="G3" s="4"/>
      <c r="H3" s="3" t="s">
        <v>215</v>
      </c>
      <c r="I3" s="3" t="s">
        <v>233</v>
      </c>
      <c r="J3" s="3" t="s">
        <v>236</v>
      </c>
      <c r="K3" s="3" t="s">
        <v>228</v>
      </c>
      <c r="P3" s="3">
        <v>50</v>
      </c>
      <c r="Q3" s="3">
        <v>1</v>
      </c>
      <c r="R3" s="3">
        <v>1</v>
      </c>
      <c r="S3" s="3">
        <v>0</v>
      </c>
      <c r="T3" s="3">
        <v>1</v>
      </c>
      <c r="V3" s="3">
        <v>1</v>
      </c>
      <c r="W3" s="3">
        <v>100</v>
      </c>
      <c r="X3" s="1" t="s">
        <v>229</v>
      </c>
      <c r="Y3" s="1" t="s">
        <v>230</v>
      </c>
      <c r="Z3" s="1" t="s">
        <v>231</v>
      </c>
      <c r="AA3" s="5"/>
      <c r="AB3" s="5"/>
    </row>
    <row r="4" spans="1:31" x14ac:dyDescent="0.2">
      <c r="X4" s="1">
        <v>150</v>
      </c>
      <c r="Y4" s="1">
        <v>15</v>
      </c>
      <c r="Z4" s="1">
        <v>10</v>
      </c>
      <c r="AA4" s="2"/>
      <c r="AB4" s="2"/>
    </row>
    <row r="5" spans="1:31" customFormat="1" x14ac:dyDescent="0.2">
      <c r="A5" s="9" t="s">
        <v>224</v>
      </c>
      <c r="B5" s="9" t="s">
        <v>217</v>
      </c>
      <c r="C5" s="9" t="s">
        <v>205</v>
      </c>
      <c r="D5" s="4" t="str">
        <f t="shared" ref="D5:D10" si="0">"abilities/items/"&amp;I5&amp;"/item_clarity"</f>
        <v>abilities/items/consumable/item_clarity</v>
      </c>
      <c r="E5" s="4"/>
      <c r="F5" s="9" t="s">
        <v>225</v>
      </c>
      <c r="G5" s="9"/>
      <c r="H5" s="9" t="s">
        <v>224</v>
      </c>
      <c r="I5" s="3" t="s">
        <v>233</v>
      </c>
      <c r="J5" s="3" t="s">
        <v>236</v>
      </c>
      <c r="K5" s="9" t="s">
        <v>228</v>
      </c>
      <c r="L5" s="9"/>
      <c r="M5" s="9"/>
      <c r="N5" s="9"/>
      <c r="O5" s="9"/>
      <c r="P5" s="9">
        <v>150</v>
      </c>
      <c r="Q5" s="9">
        <v>1</v>
      </c>
      <c r="R5" s="9">
        <v>1</v>
      </c>
      <c r="S5" s="9">
        <v>0</v>
      </c>
      <c r="T5" s="9">
        <v>1</v>
      </c>
      <c r="U5" s="9"/>
      <c r="V5" s="9">
        <v>1</v>
      </c>
      <c r="W5" s="9">
        <v>100</v>
      </c>
      <c r="X5" s="1" t="s">
        <v>229</v>
      </c>
      <c r="Y5" s="1" t="s">
        <v>230</v>
      </c>
      <c r="Z5" s="1" t="s">
        <v>231</v>
      </c>
    </row>
    <row r="6" spans="1:31" customFormat="1" x14ac:dyDescent="0.2">
      <c r="A6" s="9"/>
      <c r="B6" s="9"/>
      <c r="C6" s="9"/>
      <c r="D6" s="3"/>
      <c r="E6" s="3"/>
      <c r="F6" s="9"/>
      <c r="G6" s="9"/>
      <c r="H6" s="9"/>
      <c r="I6" s="3"/>
      <c r="J6" s="3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1">
        <v>300</v>
      </c>
      <c r="Y6" s="1">
        <v>30</v>
      </c>
      <c r="Z6" s="1">
        <v>10</v>
      </c>
    </row>
    <row r="7" spans="1:31" customFormat="1" x14ac:dyDescent="0.2">
      <c r="A7" s="9" t="s">
        <v>271</v>
      </c>
      <c r="B7" s="9" t="s">
        <v>218</v>
      </c>
      <c r="C7" s="9" t="s">
        <v>205</v>
      </c>
      <c r="D7" s="4" t="str">
        <f t="shared" ref="D7:D10" si="1">"abilities/items/"&amp;I7&amp;"/item_clarity"</f>
        <v>abilities/items/consumable/item_clarity</v>
      </c>
      <c r="E7" s="4"/>
      <c r="F7" s="9" t="s">
        <v>225</v>
      </c>
      <c r="G7" s="9"/>
      <c r="H7" s="9" t="s">
        <v>271</v>
      </c>
      <c r="I7" s="3" t="s">
        <v>233</v>
      </c>
      <c r="J7" s="3" t="s">
        <v>236</v>
      </c>
      <c r="K7" s="9" t="s">
        <v>228</v>
      </c>
      <c r="L7" s="9"/>
      <c r="M7" s="9"/>
      <c r="N7" s="9"/>
      <c r="O7" s="9"/>
      <c r="P7" s="9">
        <v>300</v>
      </c>
      <c r="Q7" s="9">
        <v>1</v>
      </c>
      <c r="R7" s="9">
        <v>1</v>
      </c>
      <c r="S7" s="9">
        <v>0</v>
      </c>
      <c r="T7" s="9">
        <v>1</v>
      </c>
      <c r="U7" s="9"/>
      <c r="V7" s="9">
        <v>1</v>
      </c>
      <c r="W7" s="9">
        <v>100</v>
      </c>
      <c r="X7" s="1" t="s">
        <v>229</v>
      </c>
      <c r="Y7" s="1" t="s">
        <v>230</v>
      </c>
      <c r="Z7" s="1" t="s">
        <v>231</v>
      </c>
    </row>
    <row r="8" spans="1:31" customFormat="1" x14ac:dyDescent="0.2">
      <c r="A8" s="9"/>
      <c r="B8" s="9"/>
      <c r="C8" s="9"/>
      <c r="D8" s="3"/>
      <c r="E8" s="3"/>
      <c r="F8" s="9"/>
      <c r="G8" s="9"/>
      <c r="H8" s="9"/>
      <c r="I8" s="3"/>
      <c r="J8" s="3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1">
        <v>800</v>
      </c>
      <c r="Y8" s="1">
        <v>80</v>
      </c>
      <c r="Z8" s="1">
        <v>10</v>
      </c>
    </row>
    <row r="9" spans="1:31" customFormat="1" x14ac:dyDescent="0.2">
      <c r="A9" s="9" t="s">
        <v>272</v>
      </c>
      <c r="B9" s="9" t="s">
        <v>219</v>
      </c>
      <c r="C9" s="9" t="s">
        <v>205</v>
      </c>
      <c r="D9" s="4" t="str">
        <f t="shared" ref="D9:D10" si="2">"abilities/items/"&amp;I9&amp;"/item_clarity"</f>
        <v>abilities/items/consumable/item_clarity</v>
      </c>
      <c r="E9" s="4"/>
      <c r="F9" s="9" t="s">
        <v>225</v>
      </c>
      <c r="G9" s="9"/>
      <c r="H9" s="9" t="s">
        <v>272</v>
      </c>
      <c r="I9" s="3" t="s">
        <v>233</v>
      </c>
      <c r="J9" s="3" t="s">
        <v>236</v>
      </c>
      <c r="K9" s="9" t="s">
        <v>228</v>
      </c>
      <c r="L9" s="9"/>
      <c r="M9" s="9"/>
      <c r="N9" s="9"/>
      <c r="O9" s="9"/>
      <c r="P9" s="9">
        <v>800</v>
      </c>
      <c r="Q9" s="9">
        <v>1</v>
      </c>
      <c r="R9" s="9">
        <v>1</v>
      </c>
      <c r="S9" s="9">
        <v>0</v>
      </c>
      <c r="T9" s="9">
        <v>1</v>
      </c>
      <c r="U9" s="9"/>
      <c r="V9" s="9">
        <v>1</v>
      </c>
      <c r="W9" s="9">
        <v>100</v>
      </c>
      <c r="X9" s="1" t="s">
        <v>229</v>
      </c>
      <c r="Y9" s="1" t="s">
        <v>230</v>
      </c>
      <c r="Z9" s="1" t="s">
        <v>231</v>
      </c>
    </row>
    <row r="10" spans="1:31" customFormat="1" x14ac:dyDescent="0.2">
      <c r="A10" s="9"/>
      <c r="B10" s="9"/>
      <c r="C10" s="9"/>
      <c r="D10" s="3"/>
      <c r="E10" s="3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1">
        <v>2000</v>
      </c>
      <c r="Y10" s="1">
        <v>200</v>
      </c>
      <c r="Z10" s="1">
        <v>10</v>
      </c>
    </row>
    <row r="11" spans="1:31" customFormat="1" x14ac:dyDescent="0.2">
      <c r="A11" s="9" t="s">
        <v>238</v>
      </c>
      <c r="B11" s="3" t="s">
        <v>276</v>
      </c>
      <c r="C11" s="9" t="s">
        <v>205</v>
      </c>
      <c r="D11" s="4" t="str">
        <f>"abilities/items/"&amp;I3&amp;"/item_salve"</f>
        <v>abilities/items/consumable/item_salve</v>
      </c>
      <c r="E11" s="4"/>
      <c r="F11" s="9" t="s">
        <v>283</v>
      </c>
      <c r="G11" s="9"/>
      <c r="H11" s="9" t="s">
        <v>238</v>
      </c>
      <c r="I11" s="3" t="s">
        <v>233</v>
      </c>
      <c r="J11" s="3" t="s">
        <v>236</v>
      </c>
      <c r="K11" s="9" t="s">
        <v>228</v>
      </c>
      <c r="L11" s="9"/>
      <c r="M11" s="9"/>
      <c r="N11" s="9"/>
      <c r="O11" s="9"/>
      <c r="P11" s="3">
        <v>50</v>
      </c>
      <c r="Q11" s="3">
        <v>1</v>
      </c>
      <c r="R11" s="3">
        <v>1</v>
      </c>
      <c r="S11" s="3">
        <v>0</v>
      </c>
      <c r="T11" s="3">
        <v>1</v>
      </c>
      <c r="U11" s="3"/>
      <c r="V11" s="3">
        <v>1</v>
      </c>
      <c r="W11" s="3">
        <v>100</v>
      </c>
      <c r="X11" s="1" t="s">
        <v>247</v>
      </c>
      <c r="Y11" s="1" t="s">
        <v>248</v>
      </c>
      <c r="Z11" s="1" t="s">
        <v>231</v>
      </c>
    </row>
    <row r="12" spans="1:31" customFormat="1" x14ac:dyDescent="0.2">
      <c r="A12" s="9"/>
      <c r="B12" s="3"/>
      <c r="C12" s="9"/>
      <c r="D12" s="3"/>
      <c r="E12" s="3"/>
      <c r="F12" s="9"/>
      <c r="G12" s="9"/>
      <c r="H12" s="9"/>
      <c r="I12" s="9"/>
      <c r="J12" s="9"/>
      <c r="K12" s="9"/>
      <c r="L12" s="9"/>
      <c r="M12" s="9"/>
      <c r="N12" s="9"/>
      <c r="O12" s="9"/>
      <c r="P12" s="3"/>
      <c r="Q12" s="3"/>
      <c r="R12" s="3"/>
      <c r="S12" s="3"/>
      <c r="T12" s="3"/>
      <c r="U12" s="3"/>
      <c r="V12" s="3"/>
      <c r="W12" s="3"/>
      <c r="X12" s="1">
        <v>600</v>
      </c>
      <c r="Y12" s="1">
        <v>60</v>
      </c>
      <c r="Z12" s="1">
        <v>10</v>
      </c>
    </row>
    <row r="13" spans="1:31" customFormat="1" x14ac:dyDescent="0.2">
      <c r="A13" s="9" t="s">
        <v>273</v>
      </c>
      <c r="B13" s="9" t="s">
        <v>277</v>
      </c>
      <c r="C13" s="9" t="s">
        <v>205</v>
      </c>
      <c r="D13" s="4" t="str">
        <f t="shared" ref="D13" si="3">"abilities/items/"&amp;I5&amp;"/item_salve"</f>
        <v>abilities/items/consumable/item_salve</v>
      </c>
      <c r="E13" s="4"/>
      <c r="F13" s="9" t="s">
        <v>283</v>
      </c>
      <c r="G13" s="9"/>
      <c r="H13" s="9" t="s">
        <v>273</v>
      </c>
      <c r="I13" s="3" t="s">
        <v>233</v>
      </c>
      <c r="J13" s="3" t="s">
        <v>236</v>
      </c>
      <c r="K13" s="9" t="s">
        <v>228</v>
      </c>
      <c r="L13" s="9"/>
      <c r="M13" s="9"/>
      <c r="N13" s="9"/>
      <c r="O13" s="9"/>
      <c r="P13" s="9">
        <v>150</v>
      </c>
      <c r="Q13" s="9">
        <v>1</v>
      </c>
      <c r="R13" s="9">
        <v>1</v>
      </c>
      <c r="S13" s="9">
        <v>0</v>
      </c>
      <c r="T13" s="9">
        <v>1</v>
      </c>
      <c r="U13" s="9"/>
      <c r="V13" s="9">
        <v>1</v>
      </c>
      <c r="W13" s="9">
        <v>100</v>
      </c>
      <c r="X13" s="1" t="s">
        <v>247</v>
      </c>
      <c r="Y13" s="1" t="s">
        <v>248</v>
      </c>
      <c r="Z13" s="1" t="s">
        <v>231</v>
      </c>
    </row>
    <row r="14" spans="1:31" customFormat="1" x14ac:dyDescent="0.2">
      <c r="A14" s="9"/>
      <c r="B14" s="9"/>
      <c r="C14" s="9"/>
      <c r="D14" s="3"/>
      <c r="E14" s="3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1">
        <v>1500</v>
      </c>
      <c r="Y14" s="1">
        <v>150</v>
      </c>
      <c r="Z14" s="1">
        <v>10</v>
      </c>
    </row>
    <row r="15" spans="1:31" customFormat="1" x14ac:dyDescent="0.2">
      <c r="A15" s="9" t="s">
        <v>274</v>
      </c>
      <c r="B15" s="9" t="s">
        <v>278</v>
      </c>
      <c r="C15" s="9" t="s">
        <v>205</v>
      </c>
      <c r="D15" s="4" t="str">
        <f t="shared" ref="D15" si="4">"abilities/items/"&amp;I7&amp;"/item_salve"</f>
        <v>abilities/items/consumable/item_salve</v>
      </c>
      <c r="E15" s="4"/>
      <c r="F15" s="9" t="s">
        <v>283</v>
      </c>
      <c r="G15" s="9"/>
      <c r="H15" s="9" t="s">
        <v>274</v>
      </c>
      <c r="I15" s="3" t="s">
        <v>233</v>
      </c>
      <c r="J15" s="3" t="s">
        <v>236</v>
      </c>
      <c r="K15" s="9" t="s">
        <v>228</v>
      </c>
      <c r="L15" s="9"/>
      <c r="M15" s="9"/>
      <c r="N15" s="9"/>
      <c r="O15" s="9"/>
      <c r="P15" s="9">
        <v>300</v>
      </c>
      <c r="Q15" s="9">
        <v>1</v>
      </c>
      <c r="R15" s="9">
        <v>1</v>
      </c>
      <c r="S15" s="9">
        <v>0</v>
      </c>
      <c r="T15" s="9">
        <v>1</v>
      </c>
      <c r="U15" s="9"/>
      <c r="V15" s="9">
        <v>1</v>
      </c>
      <c r="W15" s="9">
        <v>100</v>
      </c>
      <c r="X15" s="1" t="s">
        <v>247</v>
      </c>
      <c r="Y15" s="1" t="s">
        <v>248</v>
      </c>
      <c r="Z15" s="1" t="s">
        <v>231</v>
      </c>
    </row>
    <row r="16" spans="1:31" customFormat="1" x14ac:dyDescent="0.2">
      <c r="A16" s="9"/>
      <c r="B16" s="9"/>
      <c r="C16" s="9"/>
      <c r="D16" s="3"/>
      <c r="E16" s="3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1">
        <v>3000</v>
      </c>
      <c r="Y16" s="1">
        <v>300</v>
      </c>
      <c r="Z16" s="1">
        <v>10</v>
      </c>
    </row>
    <row r="17" spans="1:26" customFormat="1" x14ac:dyDescent="0.2">
      <c r="A17" s="9" t="s">
        <v>275</v>
      </c>
      <c r="B17" s="9" t="s">
        <v>279</v>
      </c>
      <c r="C17" s="9" t="s">
        <v>205</v>
      </c>
      <c r="D17" s="4" t="str">
        <f t="shared" ref="D17" si="5">"abilities/items/"&amp;I9&amp;"/item_salve"</f>
        <v>abilities/items/consumable/item_salve</v>
      </c>
      <c r="E17" s="4"/>
      <c r="F17" s="9" t="s">
        <v>283</v>
      </c>
      <c r="G17" s="9"/>
      <c r="H17" s="9" t="s">
        <v>275</v>
      </c>
      <c r="I17" s="3" t="s">
        <v>233</v>
      </c>
      <c r="J17" s="3" t="s">
        <v>236</v>
      </c>
      <c r="K17" s="9" t="s">
        <v>228</v>
      </c>
      <c r="L17" s="9"/>
      <c r="M17" s="9"/>
      <c r="N17" s="9"/>
      <c r="O17" s="9"/>
      <c r="P17" s="9">
        <v>800</v>
      </c>
      <c r="Q17" s="9">
        <v>1</v>
      </c>
      <c r="R17" s="9">
        <v>1</v>
      </c>
      <c r="S17" s="9">
        <v>0</v>
      </c>
      <c r="T17" s="9">
        <v>1</v>
      </c>
      <c r="U17" s="9"/>
      <c r="V17" s="9">
        <v>1</v>
      </c>
      <c r="W17" s="9">
        <v>100</v>
      </c>
      <c r="X17" s="1" t="s">
        <v>247</v>
      </c>
      <c r="Y17" s="1" t="s">
        <v>248</v>
      </c>
      <c r="Z17" s="1" t="s">
        <v>231</v>
      </c>
    </row>
    <row r="18" spans="1:26" customFormat="1" x14ac:dyDescent="0.2">
      <c r="A18" s="9"/>
      <c r="B18" s="9"/>
      <c r="C18" s="9"/>
      <c r="D18" s="3"/>
      <c r="E18" s="3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1">
        <v>6000</v>
      </c>
      <c r="Y18" s="1">
        <v>600</v>
      </c>
      <c r="Z18" s="1">
        <v>10</v>
      </c>
    </row>
    <row r="19" spans="1:26" customFormat="1" x14ac:dyDescent="0.2">
      <c r="A19" s="9" t="s">
        <v>249</v>
      </c>
      <c r="B19" s="3" t="s">
        <v>250</v>
      </c>
      <c r="C19" s="9" t="s">
        <v>260</v>
      </c>
      <c r="D19" s="4" t="str">
        <f t="shared" ref="D19" si="6">"abilities/items/"&amp;I19&amp;"/"&amp;A19</f>
        <v>abilities/items/consumable/item_salve1_pack</v>
      </c>
      <c r="E19" s="4"/>
      <c r="F19" s="9" t="s">
        <v>283</v>
      </c>
      <c r="G19" s="9"/>
      <c r="H19" s="9" t="s">
        <v>249</v>
      </c>
      <c r="I19" s="3" t="s">
        <v>233</v>
      </c>
      <c r="J19" s="3" t="s">
        <v>236</v>
      </c>
      <c r="K19" s="9" t="s">
        <v>228</v>
      </c>
      <c r="L19" s="9"/>
      <c r="M19" s="9"/>
      <c r="N19" s="9"/>
      <c r="O19" s="9"/>
      <c r="P19" s="9">
        <v>2000</v>
      </c>
      <c r="Q19" s="9">
        <v>1</v>
      </c>
      <c r="R19" s="9">
        <v>1</v>
      </c>
      <c r="S19" s="9">
        <v>0</v>
      </c>
      <c r="T19" s="9"/>
      <c r="U19" s="9">
        <v>1</v>
      </c>
      <c r="V19" s="9">
        <v>1</v>
      </c>
      <c r="W19" s="9">
        <v>100</v>
      </c>
      <c r="X19" s="10" t="s">
        <v>253</v>
      </c>
      <c r="Y19" s="10"/>
      <c r="Z19" s="10"/>
    </row>
    <row r="20" spans="1:26" customFormat="1" x14ac:dyDescent="0.2">
      <c r="A20" s="9"/>
      <c r="B20" s="9"/>
      <c r="C20" s="9"/>
      <c r="D20" s="3"/>
      <c r="E20" s="3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10">
        <v>50</v>
      </c>
      <c r="Y20" s="10"/>
      <c r="Z20" s="10"/>
    </row>
    <row r="21" spans="1:26" customFormat="1" x14ac:dyDescent="0.2">
      <c r="A21" s="9" t="s">
        <v>251</v>
      </c>
      <c r="B21" s="3" t="s">
        <v>252</v>
      </c>
      <c r="C21" s="9" t="s">
        <v>260</v>
      </c>
      <c r="D21" s="4" t="str">
        <f t="shared" ref="D21" si="7">"abilities/items/"&amp;I21&amp;"/"&amp;A21</f>
        <v>abilities/items/consumable/item_clarity1_pack</v>
      </c>
      <c r="E21" s="4"/>
      <c r="F21" s="9" t="s">
        <v>283</v>
      </c>
      <c r="G21" s="9"/>
      <c r="H21" s="9" t="s">
        <v>251</v>
      </c>
      <c r="I21" s="3" t="s">
        <v>233</v>
      </c>
      <c r="J21" s="3" t="s">
        <v>236</v>
      </c>
      <c r="K21" s="9" t="s">
        <v>228</v>
      </c>
      <c r="L21" s="9"/>
      <c r="M21" s="9"/>
      <c r="N21" s="9"/>
      <c r="O21" s="9"/>
      <c r="P21" s="9">
        <v>2000</v>
      </c>
      <c r="Q21" s="9">
        <v>1</v>
      </c>
      <c r="R21" s="9">
        <v>1</v>
      </c>
      <c r="S21" s="9">
        <v>0</v>
      </c>
      <c r="T21" s="9"/>
      <c r="U21" s="9">
        <v>1</v>
      </c>
      <c r="V21" s="9">
        <v>1</v>
      </c>
      <c r="W21" s="9">
        <v>100</v>
      </c>
      <c r="X21" s="10" t="s">
        <v>253</v>
      </c>
      <c r="Y21" s="10"/>
      <c r="Z21" s="10"/>
    </row>
    <row r="22" spans="1:26" customFormat="1" x14ac:dyDescent="0.2">
      <c r="A22" s="9"/>
      <c r="B22" s="9"/>
      <c r="C22" s="9"/>
      <c r="D22" s="3"/>
      <c r="E22" s="3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10">
        <v>50</v>
      </c>
      <c r="Y22" s="10"/>
      <c r="Z22" s="10"/>
    </row>
    <row r="23" spans="1:26" customFormat="1" x14ac:dyDescent="0.2">
      <c r="A23" s="9" t="s">
        <v>254</v>
      </c>
      <c r="B23" s="9" t="s">
        <v>257</v>
      </c>
      <c r="C23" s="9" t="s">
        <v>280</v>
      </c>
      <c r="D23" s="9"/>
      <c r="E23" s="9">
        <v>1002</v>
      </c>
      <c r="F23" s="9"/>
      <c r="G23" s="9"/>
      <c r="H23" s="9" t="s">
        <v>254</v>
      </c>
      <c r="I23" s="3" t="s">
        <v>233</v>
      </c>
      <c r="J23" s="9"/>
      <c r="K23" s="9"/>
      <c r="L23" s="9"/>
      <c r="M23" s="9"/>
      <c r="N23" s="9"/>
      <c r="O23" s="9"/>
      <c r="P23" s="9">
        <v>10000</v>
      </c>
      <c r="Q23" s="9"/>
      <c r="R23" s="9"/>
      <c r="S23" s="9"/>
      <c r="T23" s="9"/>
      <c r="U23" s="9"/>
      <c r="V23" s="9"/>
      <c r="W23" s="9"/>
      <c r="X23" s="10"/>
      <c r="Y23" s="10"/>
      <c r="Z23" s="10"/>
    </row>
    <row r="24" spans="1:26" customFormat="1" x14ac:dyDescent="0.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10"/>
      <c r="Y24" s="10"/>
      <c r="Z24" s="10"/>
    </row>
    <row r="25" spans="1:26" customFormat="1" x14ac:dyDescent="0.2">
      <c r="A25" s="9" t="s">
        <v>286</v>
      </c>
      <c r="B25" s="9" t="s">
        <v>263</v>
      </c>
      <c r="C25" s="9" t="s">
        <v>280</v>
      </c>
      <c r="D25" s="9"/>
      <c r="E25" s="9">
        <v>1003</v>
      </c>
      <c r="F25" s="9"/>
      <c r="G25" s="9"/>
      <c r="H25" s="9" t="s">
        <v>286</v>
      </c>
      <c r="I25" s="3" t="s">
        <v>233</v>
      </c>
      <c r="J25" s="9"/>
      <c r="K25" s="9"/>
      <c r="L25" s="9"/>
      <c r="M25" s="9"/>
      <c r="N25" s="9"/>
      <c r="O25" s="9"/>
      <c r="P25" s="9">
        <v>10000</v>
      </c>
      <c r="Q25" s="9"/>
      <c r="R25" s="9"/>
      <c r="S25" s="9"/>
      <c r="T25" s="9"/>
      <c r="U25" s="9"/>
      <c r="V25" s="9"/>
      <c r="W25" s="9"/>
      <c r="X25" s="10"/>
      <c r="Y25" s="10"/>
      <c r="Z25" s="10"/>
    </row>
    <row r="26" spans="1:26" customFormat="1" x14ac:dyDescent="0.2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10"/>
      <c r="Y26" s="10"/>
      <c r="Z26" s="10"/>
    </row>
    <row r="27" spans="1:26" customFormat="1" x14ac:dyDescent="0.2">
      <c r="A27" s="9" t="s">
        <v>287</v>
      </c>
      <c r="B27" s="9" t="s">
        <v>264</v>
      </c>
      <c r="C27" s="9" t="s">
        <v>280</v>
      </c>
      <c r="D27" s="9"/>
      <c r="E27" s="9">
        <v>1004</v>
      </c>
      <c r="F27" s="9"/>
      <c r="G27" s="9"/>
      <c r="H27" s="9" t="s">
        <v>287</v>
      </c>
      <c r="I27" s="3" t="s">
        <v>233</v>
      </c>
      <c r="J27" s="9"/>
      <c r="K27" s="9"/>
      <c r="L27" s="9"/>
      <c r="M27" s="9"/>
      <c r="N27" s="9"/>
      <c r="O27" s="9"/>
      <c r="P27" s="9">
        <v>10000</v>
      </c>
      <c r="Q27" s="9"/>
      <c r="R27" s="9"/>
      <c r="S27" s="9"/>
      <c r="T27" s="9"/>
      <c r="U27" s="9"/>
      <c r="V27" s="9"/>
      <c r="W27" s="9"/>
      <c r="X27" s="10"/>
      <c r="Y27" s="10"/>
      <c r="Z27" s="10"/>
    </row>
    <row r="28" spans="1:26" customFormat="1" x14ac:dyDescent="0.2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0"/>
      <c r="Y28" s="10"/>
      <c r="Z28" s="10"/>
    </row>
    <row r="29" spans="1:26" customFormat="1" x14ac:dyDescent="0.2">
      <c r="A29" s="9" t="s">
        <v>255</v>
      </c>
      <c r="B29" s="9" t="s">
        <v>258</v>
      </c>
      <c r="C29" s="9" t="s">
        <v>280</v>
      </c>
      <c r="D29" s="9"/>
      <c r="E29" s="9">
        <v>1709</v>
      </c>
      <c r="F29" s="9"/>
      <c r="G29" s="9"/>
      <c r="H29" s="9" t="s">
        <v>255</v>
      </c>
      <c r="I29" s="3" t="s">
        <v>233</v>
      </c>
      <c r="J29" s="9"/>
      <c r="K29" s="9"/>
      <c r="L29" s="9"/>
      <c r="M29" s="9"/>
      <c r="N29" s="9"/>
      <c r="O29" s="9"/>
      <c r="P29" s="9">
        <v>95000</v>
      </c>
      <c r="Q29" s="9"/>
      <c r="R29" s="9"/>
      <c r="S29" s="9"/>
      <c r="T29" s="9"/>
      <c r="U29" s="9"/>
      <c r="V29" s="9"/>
      <c r="W29" s="9"/>
      <c r="X29" s="10"/>
      <c r="Y29" s="10"/>
      <c r="Z29" s="10"/>
    </row>
    <row r="30" spans="1:26" customFormat="1" x14ac:dyDescent="0.2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0"/>
      <c r="Y30" s="10"/>
      <c r="Z30" s="10"/>
    </row>
    <row r="31" spans="1:26" customFormat="1" x14ac:dyDescent="0.2">
      <c r="A31" s="9" t="s">
        <v>261</v>
      </c>
      <c r="B31" s="9" t="s">
        <v>265</v>
      </c>
      <c r="C31" s="9" t="s">
        <v>280</v>
      </c>
      <c r="D31" s="9"/>
      <c r="E31" s="9">
        <v>1710</v>
      </c>
      <c r="F31" s="9"/>
      <c r="G31" s="9"/>
      <c r="H31" s="9" t="s">
        <v>261</v>
      </c>
      <c r="I31" s="3" t="s">
        <v>233</v>
      </c>
      <c r="J31" s="9"/>
      <c r="K31" s="9"/>
      <c r="L31" s="9"/>
      <c r="M31" s="9"/>
      <c r="N31" s="9"/>
      <c r="O31" s="9"/>
      <c r="P31" s="9">
        <v>95000</v>
      </c>
      <c r="Q31" s="9"/>
      <c r="R31" s="9"/>
      <c r="S31" s="9"/>
      <c r="T31" s="9"/>
      <c r="U31" s="9"/>
      <c r="V31" s="9"/>
      <c r="W31" s="9"/>
      <c r="X31" s="10"/>
      <c r="Y31" s="10"/>
      <c r="Z31" s="10"/>
    </row>
    <row r="32" spans="1:26" customFormat="1" x14ac:dyDescent="0.2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10"/>
      <c r="Y32" s="10"/>
      <c r="Z32" s="10"/>
    </row>
    <row r="33" spans="1:26" customFormat="1" x14ac:dyDescent="0.2">
      <c r="A33" s="9" t="s">
        <v>262</v>
      </c>
      <c r="B33" s="9" t="s">
        <v>266</v>
      </c>
      <c r="C33" s="9" t="s">
        <v>280</v>
      </c>
      <c r="D33" s="9"/>
      <c r="E33" s="9">
        <v>1711</v>
      </c>
      <c r="F33" s="9"/>
      <c r="G33" s="9"/>
      <c r="H33" s="9" t="s">
        <v>262</v>
      </c>
      <c r="I33" s="3" t="s">
        <v>233</v>
      </c>
      <c r="J33" s="9"/>
      <c r="K33" s="9"/>
      <c r="L33" s="9"/>
      <c r="M33" s="9"/>
      <c r="N33" s="9"/>
      <c r="O33" s="9"/>
      <c r="P33" s="9">
        <v>95000</v>
      </c>
      <c r="Q33" s="9"/>
      <c r="R33" s="9"/>
      <c r="S33" s="9"/>
      <c r="T33" s="9"/>
      <c r="U33" s="9"/>
      <c r="V33" s="9"/>
      <c r="W33" s="9"/>
      <c r="X33" s="10"/>
      <c r="Y33" s="10"/>
      <c r="Z33" s="10"/>
    </row>
    <row r="34" spans="1:26" customFormat="1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0"/>
      <c r="Y34" s="10"/>
      <c r="Z34" s="10"/>
    </row>
    <row r="35" spans="1:26" customFormat="1" x14ac:dyDescent="0.2">
      <c r="A35" s="9" t="s">
        <v>256</v>
      </c>
      <c r="B35" s="9" t="s">
        <v>259</v>
      </c>
      <c r="C35" s="9" t="s">
        <v>280</v>
      </c>
      <c r="D35" s="9"/>
      <c r="E35" s="9">
        <v>1775</v>
      </c>
      <c r="F35" s="9"/>
      <c r="G35" s="9"/>
      <c r="H35" s="9" t="s">
        <v>255</v>
      </c>
      <c r="I35" s="3" t="s">
        <v>233</v>
      </c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10"/>
      <c r="Y35" s="10"/>
      <c r="Z35" s="10"/>
    </row>
    <row r="36" spans="1:26" customFormat="1" x14ac:dyDescent="0.2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10"/>
      <c r="Y36" s="10"/>
      <c r="Z36" s="10"/>
    </row>
    <row r="37" spans="1:26" customFormat="1" x14ac:dyDescent="0.2">
      <c r="A37" s="9" t="s">
        <v>267</v>
      </c>
      <c r="B37" s="9" t="s">
        <v>269</v>
      </c>
      <c r="C37" s="9" t="s">
        <v>280</v>
      </c>
      <c r="D37" s="9"/>
      <c r="E37" s="9">
        <v>1776</v>
      </c>
      <c r="F37" s="9"/>
      <c r="G37" s="9"/>
      <c r="H37" s="9" t="s">
        <v>261</v>
      </c>
      <c r="I37" s="3" t="s">
        <v>233</v>
      </c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10"/>
      <c r="Y37" s="10"/>
      <c r="Z37" s="10"/>
    </row>
    <row r="38" spans="1:26" customFormat="1" x14ac:dyDescent="0.2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0"/>
      <c r="Y38" s="10"/>
      <c r="Z38" s="10"/>
    </row>
    <row r="39" spans="1:26" customFormat="1" x14ac:dyDescent="0.2">
      <c r="A39" s="9" t="s">
        <v>268</v>
      </c>
      <c r="B39" s="9" t="s">
        <v>270</v>
      </c>
      <c r="C39" s="9" t="s">
        <v>280</v>
      </c>
      <c r="D39" s="9"/>
      <c r="E39" s="9">
        <v>1777</v>
      </c>
      <c r="F39" s="9"/>
      <c r="G39" s="9"/>
      <c r="H39" s="9" t="s">
        <v>262</v>
      </c>
      <c r="I39" s="3" t="s">
        <v>233</v>
      </c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10"/>
      <c r="Y39" s="10"/>
      <c r="Z39" s="10"/>
    </row>
    <row r="40" spans="1:26" customFormat="1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10"/>
      <c r="Y40" s="10"/>
      <c r="Z40" s="10"/>
    </row>
    <row r="41" spans="1:26" customFormat="1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10"/>
      <c r="Y41" s="10"/>
      <c r="Z41" s="10"/>
    </row>
    <row r="42" spans="1:26" customForma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0"/>
      <c r="Y42" s="10"/>
      <c r="Z42" s="10"/>
    </row>
    <row r="43" spans="1:26" customFormat="1" x14ac:dyDescent="0.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10"/>
      <c r="Y43" s="10"/>
      <c r="Z43" s="10"/>
    </row>
    <row r="44" spans="1:26" customFormat="1" x14ac:dyDescent="0.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10"/>
      <c r="Y44" s="10"/>
      <c r="Z44" s="10"/>
    </row>
    <row r="45" spans="1:26" customFormat="1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10"/>
      <c r="Y45" s="10"/>
      <c r="Z45" s="10"/>
    </row>
    <row r="46" spans="1:26" customFormat="1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10"/>
      <c r="Y46" s="10"/>
      <c r="Z46" s="10"/>
    </row>
    <row r="47" spans="1:26" customFormat="1" x14ac:dyDescent="0.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10"/>
      <c r="Y47" s="10"/>
      <c r="Z47" s="10"/>
    </row>
    <row r="48" spans="1:26" customFormat="1" x14ac:dyDescent="0.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10"/>
      <c r="Y48" s="10"/>
      <c r="Z48" s="10"/>
    </row>
    <row r="49" spans="1:26" customFormat="1" x14ac:dyDescent="0.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10"/>
      <c r="Y49" s="10"/>
      <c r="Z49" s="10"/>
    </row>
    <row r="50" spans="1:26" customFormat="1" x14ac:dyDescent="0.2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10"/>
      <c r="Y50" s="10"/>
      <c r="Z50" s="10"/>
    </row>
    <row r="51" spans="1:26" customFormat="1" x14ac:dyDescent="0.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10"/>
      <c r="Y51" s="10"/>
      <c r="Z51" s="10"/>
    </row>
    <row r="52" spans="1:26" customFormat="1" x14ac:dyDescent="0.2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10"/>
      <c r="Y52" s="10"/>
      <c r="Z52" s="10"/>
    </row>
    <row r="53" spans="1:26" customFormat="1" x14ac:dyDescent="0.2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10"/>
      <c r="Y53" s="10"/>
      <c r="Z53" s="10"/>
    </row>
    <row r="54" spans="1:26" customFormat="1" x14ac:dyDescent="0.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10"/>
      <c r="Y54" s="10"/>
      <c r="Z54" s="10"/>
    </row>
    <row r="55" spans="1:26" customFormat="1" x14ac:dyDescent="0.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10"/>
      <c r="Y55" s="10"/>
      <c r="Z55" s="10"/>
    </row>
    <row r="56" spans="1:26" customFormat="1" x14ac:dyDescent="0.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10"/>
      <c r="Y56" s="10"/>
      <c r="Z56" s="10"/>
    </row>
    <row r="57" spans="1:26" customFormat="1" x14ac:dyDescent="0.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10"/>
      <c r="Y57" s="10"/>
      <c r="Z57" s="10"/>
    </row>
    <row r="58" spans="1:26" customFormat="1" x14ac:dyDescent="0.2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10"/>
      <c r="Y58" s="10"/>
      <c r="Z58" s="10"/>
    </row>
    <row r="59" spans="1:26" customFormat="1" x14ac:dyDescent="0.2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10"/>
      <c r="Y59" s="10"/>
      <c r="Z59" s="10"/>
    </row>
    <row r="60" spans="1:26" customFormat="1" x14ac:dyDescent="0.2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10"/>
      <c r="Y60" s="10"/>
      <c r="Z60" s="10"/>
    </row>
    <row r="61" spans="1:26" customFormat="1" x14ac:dyDescent="0.2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10"/>
      <c r="Y61" s="10"/>
      <c r="Z61" s="10"/>
    </row>
    <row r="62" spans="1:26" customFormat="1" x14ac:dyDescent="0.2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10"/>
      <c r="Y62" s="10"/>
      <c r="Z62" s="10"/>
    </row>
    <row r="63" spans="1:26" customFormat="1" x14ac:dyDescent="0.2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10"/>
      <c r="Y63" s="10"/>
      <c r="Z63" s="10"/>
    </row>
    <row r="64" spans="1:26" customFormat="1" x14ac:dyDescent="0.2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10"/>
      <c r="Y64" s="10"/>
      <c r="Z64" s="10"/>
    </row>
    <row r="65" spans="1:26" customFormat="1" x14ac:dyDescent="0.2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10"/>
      <c r="Y65" s="10"/>
      <c r="Z65" s="10"/>
    </row>
    <row r="66" spans="1:26" customFormat="1" x14ac:dyDescent="0.2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10"/>
      <c r="Y66" s="10"/>
      <c r="Z66" s="10"/>
    </row>
    <row r="67" spans="1:26" customFormat="1" x14ac:dyDescent="0.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10"/>
      <c r="Y67" s="10"/>
      <c r="Z67" s="10"/>
    </row>
    <row r="68" spans="1:26" customFormat="1" x14ac:dyDescent="0.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10"/>
      <c r="Y68" s="10"/>
      <c r="Z68" s="10"/>
    </row>
    <row r="69" spans="1:26" customFormat="1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10"/>
      <c r="Y69" s="10"/>
      <c r="Z69" s="10"/>
    </row>
    <row r="70" spans="1:26" customFormat="1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10"/>
      <c r="Y70" s="10"/>
      <c r="Z70" s="10"/>
    </row>
    <row r="71" spans="1:26" customFormat="1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10"/>
      <c r="Y71" s="10"/>
      <c r="Z71" s="10"/>
    </row>
    <row r="72" spans="1:26" customFormat="1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10"/>
      <c r="Y72" s="10"/>
      <c r="Z72" s="10"/>
    </row>
    <row r="73" spans="1:26" customFormat="1" x14ac:dyDescent="0.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10"/>
      <c r="Y73" s="10"/>
      <c r="Z73" s="10"/>
    </row>
    <row r="74" spans="1:26" customFormat="1" x14ac:dyDescent="0.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10"/>
      <c r="Y74" s="10"/>
      <c r="Z74" s="10"/>
    </row>
    <row r="75" spans="1:26" customFormat="1" x14ac:dyDescent="0.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10"/>
      <c r="Y75" s="10"/>
      <c r="Z75" s="10"/>
    </row>
    <row r="76" spans="1:26" customFormat="1" x14ac:dyDescent="0.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10"/>
      <c r="Y76" s="10"/>
      <c r="Z76" s="10"/>
    </row>
    <row r="77" spans="1:26" customFormat="1" x14ac:dyDescent="0.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10"/>
      <c r="Y77" s="10"/>
      <c r="Z77" s="10"/>
    </row>
    <row r="78" spans="1:26" customFormat="1" x14ac:dyDescent="0.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10"/>
      <c r="Y78" s="10"/>
      <c r="Z78" s="10"/>
    </row>
    <row r="79" spans="1:26" customFormat="1" x14ac:dyDescent="0.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10"/>
      <c r="Y79" s="10"/>
      <c r="Z79" s="10"/>
    </row>
    <row r="80" spans="1:26" customFormat="1" x14ac:dyDescent="0.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10"/>
      <c r="Y80" s="10"/>
      <c r="Z80" s="10"/>
    </row>
    <row r="81" spans="1:26" customFormat="1" x14ac:dyDescent="0.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10"/>
      <c r="Y81" s="10"/>
      <c r="Z81" s="10"/>
    </row>
    <row r="82" spans="1:26" customFormat="1" x14ac:dyDescent="0.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10"/>
      <c r="Y82" s="10"/>
      <c r="Z82" s="10"/>
    </row>
    <row r="83" spans="1:26" customFormat="1" x14ac:dyDescent="0.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10"/>
      <c r="Y83" s="10"/>
      <c r="Z83" s="10"/>
    </row>
    <row r="84" spans="1:26" customFormat="1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10"/>
      <c r="Y84" s="10"/>
      <c r="Z84" s="10"/>
    </row>
    <row r="85" spans="1:26" customFormat="1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10"/>
      <c r="Y85" s="10"/>
      <c r="Z85" s="10"/>
    </row>
    <row r="86" spans="1:26" customFormat="1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10"/>
      <c r="Y86" s="10"/>
      <c r="Z86" s="10"/>
    </row>
    <row r="87" spans="1:26" customFormat="1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10"/>
      <c r="Y87" s="10"/>
      <c r="Z87" s="10"/>
    </row>
    <row r="88" spans="1:26" customFormat="1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10"/>
      <c r="Y88" s="10"/>
      <c r="Z88" s="10"/>
    </row>
    <row r="89" spans="1:26" customFormat="1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10"/>
      <c r="Y89" s="10"/>
      <c r="Z89" s="10"/>
    </row>
    <row r="90" spans="1:26" customFormat="1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10"/>
      <c r="Y90" s="10"/>
      <c r="Z90" s="10"/>
    </row>
    <row r="91" spans="1:26" customFormat="1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10"/>
      <c r="Y91" s="10"/>
      <c r="Z91" s="10"/>
    </row>
    <row r="92" spans="1:26" customFormat="1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10"/>
      <c r="Y92" s="10"/>
      <c r="Z92" s="10"/>
    </row>
    <row r="93" spans="1:26" customFormat="1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10"/>
      <c r="Y93" s="10"/>
      <c r="Z93" s="10"/>
    </row>
    <row r="94" spans="1:26" customFormat="1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10"/>
      <c r="Y94" s="10"/>
      <c r="Z94" s="10"/>
    </row>
    <row r="95" spans="1:26" customFormat="1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10"/>
      <c r="Y95" s="10"/>
      <c r="Z95" s="10"/>
    </row>
    <row r="96" spans="1:26" customFormat="1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10"/>
      <c r="Y96" s="10"/>
      <c r="Z96" s="10"/>
    </row>
    <row r="97" spans="1:26" customFormat="1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10"/>
      <c r="Y97" s="10"/>
      <c r="Z97" s="10"/>
    </row>
    <row r="98" spans="1:26" customFormat="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10"/>
      <c r="Y98" s="10"/>
      <c r="Z98" s="10"/>
    </row>
    <row r="99" spans="1:26" customFormat="1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10"/>
      <c r="Y99" s="10"/>
      <c r="Z99" s="10"/>
    </row>
    <row r="100" spans="1:26" customFormat="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10"/>
      <c r="Y100" s="10"/>
      <c r="Z100" s="10"/>
    </row>
  </sheetData>
  <phoneticPr fontId="1" type="noConversion"/>
  <conditionalFormatting sqref="A3:W4 I5:J9 I11:J11 I13:J13 I15:J15 I17:J17 I19:J19 I21:J21 I23 I25 I27 D5:E22">
    <cfRule type="expression" dxfId="26" priority="211">
      <formula>AND(ISBLANK(A3)=FALSE,MOD(ROW(),2)=0)</formula>
    </cfRule>
  </conditionalFormatting>
  <conditionalFormatting sqref="A3:XFD1000">
    <cfRule type="expression" dxfId="25" priority="214">
      <formula>MOD(ROW(A4),2)=0</formula>
    </cfRule>
    <cfRule type="expression" dxfId="24" priority="215">
      <formula>MOD(ROW(A4),4)&lt;2</formula>
    </cfRule>
    <cfRule type="expression" dxfId="23" priority="218">
      <formula>MOD(ROW(A6),4)&lt;2</formula>
    </cfRule>
  </conditionalFormatting>
  <conditionalFormatting sqref="B11:B12">
    <cfRule type="expression" dxfId="22" priority="8">
      <formula>AND(ISBLANK(B11)=FALSE,MOD(ROW(),2)=0)</formula>
    </cfRule>
  </conditionalFormatting>
  <conditionalFormatting sqref="P11:W12">
    <cfRule type="expression" dxfId="21" priority="7">
      <formula>AND(ISBLANK(P11)=FALSE,MOD(ROW(),2)=0)</formula>
    </cfRule>
  </conditionalFormatting>
  <conditionalFormatting sqref="B19">
    <cfRule type="expression" dxfId="20" priority="6">
      <formula>AND(ISBLANK(B19)=FALSE,MOD(ROW(),2)=0)</formula>
    </cfRule>
  </conditionalFormatting>
  <conditionalFormatting sqref="B21">
    <cfRule type="expression" dxfId="19" priority="5">
      <formula>AND(ISBLANK(B21)=FALSE,MOD(ROW(),2)=0)</formula>
    </cfRule>
  </conditionalFormatting>
  <conditionalFormatting sqref="I37 I35">
    <cfRule type="expression" dxfId="18" priority="4">
      <formula>AND(ISBLANK(I35)=FALSE,MOD(ROW(),2)=0)</formula>
    </cfRule>
  </conditionalFormatting>
  <conditionalFormatting sqref="I29 I31">
    <cfRule type="expression" dxfId="17" priority="3">
      <formula>AND(ISBLANK(I29)=FALSE,MOD(ROW(),2)=0)</formula>
    </cfRule>
  </conditionalFormatting>
  <conditionalFormatting sqref="I33">
    <cfRule type="expression" dxfId="16" priority="2">
      <formula>AND(ISBLANK(I33)=FALSE,MOD(ROW(),2)=0)</formula>
    </cfRule>
  </conditionalFormatting>
  <conditionalFormatting sqref="I39">
    <cfRule type="expression" dxfId="15" priority="1">
      <formula>AND(ISBLANK(I39)=FALSE,MOD(ROW(),2)=0)</formula>
    </cfRule>
  </conditionalFormatting>
  <dataValidations count="1">
    <dataValidation type="list" allowBlank="1" showInputMessage="1" showErrorMessage="1" sqref="C1:C1048576" xr:uid="{2539F7A3-B9A3-4D01-850F-855B8C5BF55B}">
      <formula1>"item_lua,item_datadriven"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4" sqref="E4"/>
    </sheetView>
  </sheetViews>
  <sheetFormatPr defaultColWidth="9" defaultRowHeight="14.25" x14ac:dyDescent="0.2"/>
  <cols>
    <col min="1" max="1" width="9" style="7"/>
    <col min="2" max="2" width="11.375" style="7" bestFit="1" customWidth="1"/>
    <col min="3" max="3" width="15.375" style="7" customWidth="1"/>
    <col min="4" max="4" width="15.125" style="8" bestFit="1" customWidth="1"/>
    <col min="5" max="5" width="51" style="8" bestFit="1" customWidth="1"/>
    <col min="6" max="6" width="34.875" style="8" customWidth="1"/>
    <col min="7" max="8" width="28.625" style="7" customWidth="1"/>
    <col min="9" max="9" width="26.375" style="8" customWidth="1"/>
    <col min="10" max="10" width="16" style="8" customWidth="1"/>
    <col min="11" max="11" width="9" style="8"/>
    <col min="12" max="12" width="20.25" style="7" customWidth="1"/>
    <col min="13" max="13" width="15.25" style="7" customWidth="1"/>
    <col min="14" max="14" width="23" style="8" customWidth="1"/>
    <col min="15" max="16384" width="9" style="8"/>
  </cols>
  <sheetData>
    <row r="1" spans="1:10" s="6" customFormat="1" x14ac:dyDescent="0.2">
      <c r="A1" s="6" t="s">
        <v>7</v>
      </c>
      <c r="B1" s="6" t="s">
        <v>2</v>
      </c>
      <c r="C1" s="6" t="s">
        <v>151</v>
      </c>
      <c r="D1" s="6" t="s">
        <v>4</v>
      </c>
      <c r="E1" s="6" t="s">
        <v>1</v>
      </c>
      <c r="F1" s="6" t="s">
        <v>158</v>
      </c>
      <c r="I1" s="6" t="s">
        <v>147</v>
      </c>
      <c r="J1" s="6" t="s">
        <v>148</v>
      </c>
    </row>
    <row r="2" spans="1:10" x14ac:dyDescent="0.2">
      <c r="A2" s="7" t="s">
        <v>6</v>
      </c>
      <c r="B2" s="7" t="s">
        <v>3</v>
      </c>
      <c r="C2" s="7" t="s">
        <v>152</v>
      </c>
      <c r="D2" s="8" t="s">
        <v>104</v>
      </c>
      <c r="E2" s="8" t="s">
        <v>86</v>
      </c>
      <c r="F2" s="8" t="s">
        <v>160</v>
      </c>
      <c r="I2" s="8" t="str">
        <f>"abilities/boss/"&amp;Sheet1!A3</f>
        <v>abilities/boss/item_clarity1</v>
      </c>
      <c r="J2" s="8" t="s">
        <v>149</v>
      </c>
    </row>
    <row r="3" spans="1:10" x14ac:dyDescent="0.2">
      <c r="A3" s="7" t="s">
        <v>150</v>
      </c>
      <c r="B3" s="7" t="s">
        <v>146</v>
      </c>
      <c r="C3" s="7" t="s">
        <v>153</v>
      </c>
      <c r="D3" s="8" t="s">
        <v>108</v>
      </c>
      <c r="E3" s="8" t="s">
        <v>87</v>
      </c>
      <c r="F3" s="8" t="s">
        <v>161</v>
      </c>
      <c r="I3" s="8" t="s">
        <v>156</v>
      </c>
    </row>
    <row r="4" spans="1:10" x14ac:dyDescent="0.2">
      <c r="A4" s="7" t="s">
        <v>8</v>
      </c>
      <c r="B4" s="7" t="s">
        <v>9</v>
      </c>
      <c r="C4" s="7" t="s">
        <v>154</v>
      </c>
      <c r="D4" s="8" t="s">
        <v>109</v>
      </c>
      <c r="E4" s="8" t="s">
        <v>0</v>
      </c>
      <c r="F4" s="8" t="s">
        <v>162</v>
      </c>
    </row>
    <row r="5" spans="1:10" x14ac:dyDescent="0.2">
      <c r="A5" s="7" t="s">
        <v>43</v>
      </c>
      <c r="B5" s="7" t="s">
        <v>10</v>
      </c>
      <c r="C5" s="7" t="s">
        <v>155</v>
      </c>
      <c r="D5" s="8" t="s">
        <v>110</v>
      </c>
      <c r="E5" s="8" t="s">
        <v>88</v>
      </c>
      <c r="F5" s="8" t="s">
        <v>159</v>
      </c>
    </row>
    <row r="6" spans="1:10" x14ac:dyDescent="0.2">
      <c r="A6" s="7" t="s">
        <v>44</v>
      </c>
      <c r="B6" s="7" t="s">
        <v>11</v>
      </c>
      <c r="D6" s="8" t="s">
        <v>111</v>
      </c>
      <c r="E6" s="8" t="s">
        <v>5</v>
      </c>
      <c r="F6" s="6" t="s">
        <v>174</v>
      </c>
    </row>
    <row r="7" spans="1:10" x14ac:dyDescent="0.2">
      <c r="A7" s="7" t="s">
        <v>45</v>
      </c>
      <c r="B7" s="7" t="s">
        <v>12</v>
      </c>
      <c r="D7" s="8" t="s">
        <v>112</v>
      </c>
      <c r="E7" s="8" t="s">
        <v>89</v>
      </c>
      <c r="F7" s="7" t="s">
        <v>178</v>
      </c>
    </row>
    <row r="8" spans="1:10" x14ac:dyDescent="0.2">
      <c r="A8" s="7" t="s">
        <v>46</v>
      </c>
      <c r="B8" s="7" t="s">
        <v>13</v>
      </c>
      <c r="D8" s="8" t="s">
        <v>113</v>
      </c>
      <c r="E8" s="8" t="s">
        <v>90</v>
      </c>
      <c r="F8" s="7" t="s">
        <v>179</v>
      </c>
    </row>
    <row r="9" spans="1:10" x14ac:dyDescent="0.2">
      <c r="A9" s="7" t="s">
        <v>47</v>
      </c>
      <c r="B9" s="7" t="s">
        <v>14</v>
      </c>
      <c r="D9" s="8" t="s">
        <v>114</v>
      </c>
      <c r="E9" s="8" t="s">
        <v>91</v>
      </c>
      <c r="F9" s="7" t="s">
        <v>176</v>
      </c>
    </row>
    <row r="10" spans="1:10" x14ac:dyDescent="0.2">
      <c r="A10" s="7" t="s">
        <v>48</v>
      </c>
      <c r="B10" s="7" t="s">
        <v>15</v>
      </c>
      <c r="D10" s="8" t="s">
        <v>115</v>
      </c>
      <c r="E10" s="8" t="s">
        <v>157</v>
      </c>
      <c r="F10" s="7" t="s">
        <v>180</v>
      </c>
    </row>
    <row r="11" spans="1:10" x14ac:dyDescent="0.2">
      <c r="A11" s="7" t="s">
        <v>49</v>
      </c>
      <c r="B11" s="7" t="s">
        <v>16</v>
      </c>
      <c r="D11" s="8" t="s">
        <v>116</v>
      </c>
      <c r="E11" s="8" t="s">
        <v>92</v>
      </c>
      <c r="F11" s="7" t="s">
        <v>177</v>
      </c>
    </row>
    <row r="12" spans="1:10" x14ac:dyDescent="0.2">
      <c r="A12" s="7" t="s">
        <v>50</v>
      </c>
      <c r="B12" s="7" t="s">
        <v>17</v>
      </c>
      <c r="D12" s="8" t="s">
        <v>117</v>
      </c>
      <c r="E12" s="8" t="s">
        <v>93</v>
      </c>
      <c r="F12" s="7" t="s">
        <v>181</v>
      </c>
    </row>
    <row r="13" spans="1:10" x14ac:dyDescent="0.2">
      <c r="A13" s="7" t="s">
        <v>51</v>
      </c>
      <c r="B13" s="7" t="s">
        <v>18</v>
      </c>
      <c r="D13" s="8" t="s">
        <v>138</v>
      </c>
      <c r="E13" s="8" t="s">
        <v>137</v>
      </c>
      <c r="F13" s="6" t="s">
        <v>182</v>
      </c>
    </row>
    <row r="14" spans="1:10" x14ac:dyDescent="0.2">
      <c r="A14" s="7" t="s">
        <v>52</v>
      </c>
      <c r="B14" s="7" t="s">
        <v>19</v>
      </c>
      <c r="D14" s="8" t="s">
        <v>118</v>
      </c>
      <c r="E14" s="8" t="s">
        <v>191</v>
      </c>
      <c r="F14" s="7" t="s">
        <v>183</v>
      </c>
    </row>
    <row r="15" spans="1:10" x14ac:dyDescent="0.2">
      <c r="A15" s="7" t="s">
        <v>53</v>
      </c>
      <c r="B15" s="7" t="s">
        <v>21</v>
      </c>
      <c r="D15" s="8" t="s">
        <v>119</v>
      </c>
      <c r="E15" s="8" t="s">
        <v>94</v>
      </c>
      <c r="F15" s="7" t="s">
        <v>184</v>
      </c>
    </row>
    <row r="16" spans="1:10" x14ac:dyDescent="0.2">
      <c r="A16" s="7" t="s">
        <v>54</v>
      </c>
      <c r="B16" s="7" t="s">
        <v>69</v>
      </c>
      <c r="D16" s="8" t="s">
        <v>120</v>
      </c>
      <c r="E16" s="8" t="s">
        <v>139</v>
      </c>
    </row>
    <row r="17" spans="1:5" x14ac:dyDescent="0.2">
      <c r="A17" s="7" t="s">
        <v>55</v>
      </c>
      <c r="B17" s="7" t="s">
        <v>22</v>
      </c>
      <c r="D17" s="8" t="s">
        <v>121</v>
      </c>
      <c r="E17" s="8" t="s">
        <v>140</v>
      </c>
    </row>
    <row r="18" spans="1:5" x14ac:dyDescent="0.2">
      <c r="A18" s="7" t="s">
        <v>56</v>
      </c>
      <c r="B18" s="7" t="s">
        <v>23</v>
      </c>
      <c r="D18" s="8" t="s">
        <v>122</v>
      </c>
      <c r="E18" s="8" t="s">
        <v>141</v>
      </c>
    </row>
    <row r="19" spans="1:5" x14ac:dyDescent="0.2">
      <c r="A19" s="7" t="s">
        <v>57</v>
      </c>
      <c r="B19" s="7" t="s">
        <v>24</v>
      </c>
      <c r="D19" s="8" t="s">
        <v>123</v>
      </c>
      <c r="E19" s="8" t="s">
        <v>95</v>
      </c>
    </row>
    <row r="20" spans="1:5" x14ac:dyDescent="0.2">
      <c r="A20" s="7" t="s">
        <v>58</v>
      </c>
      <c r="B20" s="7" t="s">
        <v>25</v>
      </c>
      <c r="D20" s="8" t="s">
        <v>124</v>
      </c>
      <c r="E20" s="8" t="s">
        <v>96</v>
      </c>
    </row>
    <row r="21" spans="1:5" x14ac:dyDescent="0.2">
      <c r="A21" s="7" t="s">
        <v>59</v>
      </c>
      <c r="B21" s="7" t="s">
        <v>26</v>
      </c>
      <c r="D21" s="8" t="s">
        <v>125</v>
      </c>
      <c r="E21" s="8" t="s">
        <v>105</v>
      </c>
    </row>
    <row r="22" spans="1:5" x14ac:dyDescent="0.2">
      <c r="A22" s="7" t="s">
        <v>60</v>
      </c>
      <c r="B22" s="7" t="s">
        <v>27</v>
      </c>
      <c r="D22" s="8" t="s">
        <v>126</v>
      </c>
      <c r="E22" s="8" t="s">
        <v>142</v>
      </c>
    </row>
    <row r="23" spans="1:5" x14ac:dyDescent="0.2">
      <c r="A23" s="7" t="s">
        <v>61</v>
      </c>
      <c r="B23" s="7" t="s">
        <v>28</v>
      </c>
      <c r="D23" s="8" t="s">
        <v>127</v>
      </c>
      <c r="E23" s="8" t="s">
        <v>143</v>
      </c>
    </row>
    <row r="24" spans="1:5" x14ac:dyDescent="0.2">
      <c r="A24" s="7" t="s">
        <v>62</v>
      </c>
      <c r="B24" s="7" t="s">
        <v>29</v>
      </c>
      <c r="D24" s="8" t="s">
        <v>144</v>
      </c>
      <c r="E24" s="8" t="s">
        <v>106</v>
      </c>
    </row>
    <row r="25" spans="1:5" x14ac:dyDescent="0.2">
      <c r="A25" s="7" t="s">
        <v>63</v>
      </c>
      <c r="B25" s="7" t="s">
        <v>30</v>
      </c>
      <c r="D25" s="8" t="s">
        <v>128</v>
      </c>
      <c r="E25" s="8" t="s">
        <v>97</v>
      </c>
    </row>
    <row r="26" spans="1:5" x14ac:dyDescent="0.2">
      <c r="A26" s="7" t="s">
        <v>64</v>
      </c>
      <c r="B26" s="7" t="s">
        <v>31</v>
      </c>
      <c r="D26" s="8" t="s">
        <v>129</v>
      </c>
      <c r="E26" s="8" t="s">
        <v>145</v>
      </c>
    </row>
    <row r="27" spans="1:5" x14ac:dyDescent="0.2">
      <c r="A27" s="7" t="s">
        <v>65</v>
      </c>
      <c r="B27" s="7" t="s">
        <v>20</v>
      </c>
      <c r="D27" s="8" t="s">
        <v>130</v>
      </c>
      <c r="E27" s="8" t="s">
        <v>107</v>
      </c>
    </row>
    <row r="28" spans="1:5" x14ac:dyDescent="0.2">
      <c r="A28" s="7" t="s">
        <v>66</v>
      </c>
      <c r="B28" s="7" t="s">
        <v>32</v>
      </c>
      <c r="D28" s="8" t="s">
        <v>131</v>
      </c>
      <c r="E28" s="8" t="s">
        <v>98</v>
      </c>
    </row>
    <row r="29" spans="1:5" x14ac:dyDescent="0.2">
      <c r="A29" s="7" t="s">
        <v>67</v>
      </c>
      <c r="B29" s="7" t="s">
        <v>33</v>
      </c>
      <c r="D29" s="8" t="s">
        <v>132</v>
      </c>
      <c r="E29" s="8" t="s">
        <v>99</v>
      </c>
    </row>
    <row r="30" spans="1:5" x14ac:dyDescent="0.2">
      <c r="A30" s="7" t="s">
        <v>73</v>
      </c>
      <c r="B30" s="7" t="s">
        <v>68</v>
      </c>
      <c r="D30" s="8" t="s">
        <v>133</v>
      </c>
      <c r="E30" s="8" t="s">
        <v>100</v>
      </c>
    </row>
    <row r="31" spans="1:5" x14ac:dyDescent="0.2">
      <c r="A31" s="7" t="s">
        <v>74</v>
      </c>
      <c r="B31" s="7" t="s">
        <v>70</v>
      </c>
      <c r="D31" s="8" t="s">
        <v>134</v>
      </c>
      <c r="E31" s="8" t="s">
        <v>101</v>
      </c>
    </row>
    <row r="32" spans="1:5" x14ac:dyDescent="0.2">
      <c r="A32" s="7" t="s">
        <v>75</v>
      </c>
      <c r="B32" s="7" t="s">
        <v>71</v>
      </c>
      <c r="D32" s="8" t="s">
        <v>135</v>
      </c>
      <c r="E32" s="8" t="s">
        <v>102</v>
      </c>
    </row>
    <row r="33" spans="1:5" x14ac:dyDescent="0.2">
      <c r="A33" s="7" t="s">
        <v>76</v>
      </c>
      <c r="B33" s="7" t="s">
        <v>72</v>
      </c>
      <c r="D33" s="8" t="s">
        <v>136</v>
      </c>
      <c r="E33" s="8" t="s">
        <v>103</v>
      </c>
    </row>
    <row r="34" spans="1:5" x14ac:dyDescent="0.2">
      <c r="A34" s="7" t="s">
        <v>77</v>
      </c>
      <c r="B34" s="7" t="s">
        <v>34</v>
      </c>
    </row>
    <row r="35" spans="1:5" x14ac:dyDescent="0.2">
      <c r="A35" s="7" t="s">
        <v>78</v>
      </c>
      <c r="B35" s="7" t="s">
        <v>35</v>
      </c>
    </row>
    <row r="36" spans="1:5" x14ac:dyDescent="0.2">
      <c r="A36" s="7" t="s">
        <v>79</v>
      </c>
      <c r="B36" s="7" t="s">
        <v>36</v>
      </c>
    </row>
    <row r="37" spans="1:5" x14ac:dyDescent="0.2">
      <c r="A37" s="7" t="s">
        <v>80</v>
      </c>
      <c r="B37" s="7" t="s">
        <v>37</v>
      </c>
    </row>
    <row r="38" spans="1:5" x14ac:dyDescent="0.2">
      <c r="A38" s="7" t="s">
        <v>81</v>
      </c>
      <c r="B38" s="7" t="s">
        <v>38</v>
      </c>
    </row>
    <row r="39" spans="1:5" x14ac:dyDescent="0.2">
      <c r="A39" s="7" t="s">
        <v>82</v>
      </c>
      <c r="B39" s="7" t="s">
        <v>39</v>
      </c>
    </row>
    <row r="40" spans="1:5" x14ac:dyDescent="0.2">
      <c r="A40" s="7" t="s">
        <v>83</v>
      </c>
      <c r="B40" s="7" t="s">
        <v>40</v>
      </c>
    </row>
    <row r="41" spans="1:5" x14ac:dyDescent="0.2">
      <c r="A41" s="7" t="s">
        <v>84</v>
      </c>
      <c r="B41" s="7" t="s">
        <v>41</v>
      </c>
    </row>
    <row r="42" spans="1:5" x14ac:dyDescent="0.2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14" priority="16"/>
  </conditionalFormatting>
  <conditionalFormatting sqref="B1:C42">
    <cfRule type="duplicateValues" dxfId="13" priority="3"/>
  </conditionalFormatting>
  <conditionalFormatting sqref="B43:C43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F16D5-5553-46BA-AC4D-D16EAB05FEB1}">
  <sheetPr codeName="Sheet3"/>
  <dimension ref="A1:AE10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16" sqref="H16"/>
    </sheetView>
  </sheetViews>
  <sheetFormatPr defaultColWidth="9" defaultRowHeight="14.25" x14ac:dyDescent="0.2"/>
  <cols>
    <col min="1" max="1" width="17.125" style="3" bestFit="1" customWidth="1"/>
    <col min="2" max="2" width="16.25" style="3" customWidth="1"/>
    <col min="3" max="3" width="9.25" style="3" bestFit="1" customWidth="1"/>
    <col min="4" max="4" width="36.125" style="3" customWidth="1"/>
    <col min="5" max="5" width="11.25" style="3" customWidth="1"/>
    <col min="6" max="6" width="12.5" style="3" customWidth="1"/>
    <col min="7" max="7" width="12.625" style="3" customWidth="1"/>
    <col min="8" max="8" width="17.75" style="3" bestFit="1" customWidth="1"/>
    <col min="9" max="13" width="17.75" style="3" customWidth="1"/>
    <col min="14" max="14" width="16.5" style="3" bestFit="1" customWidth="1"/>
    <col min="15" max="15" width="13" style="3" bestFit="1" customWidth="1"/>
    <col min="16" max="16" width="8.75" style="3" bestFit="1" customWidth="1"/>
    <col min="17" max="17" width="11.125" style="3" bestFit="1" customWidth="1"/>
    <col min="18" max="18" width="15.125" style="3" bestFit="1" customWidth="1"/>
    <col min="19" max="19" width="14.125" style="3" bestFit="1" customWidth="1"/>
    <col min="20" max="20" width="12.875" style="3" bestFit="1" customWidth="1"/>
    <col min="21" max="23" width="12.875" style="3" customWidth="1"/>
    <col min="24" max="30" width="12.125" style="1" bestFit="1" customWidth="1"/>
    <col min="31" max="31" width="12.75" style="1" bestFit="1" customWidth="1"/>
    <col min="32" max="16384" width="9" style="3"/>
  </cols>
  <sheetData>
    <row r="1" spans="1:31" s="6" customFormat="1" x14ac:dyDescent="0.2">
      <c r="A1" s="6" t="s">
        <v>163</v>
      </c>
      <c r="B1" s="6" t="s">
        <v>164</v>
      </c>
      <c r="C1" s="6" t="s">
        <v>165</v>
      </c>
      <c r="D1" s="6" t="s">
        <v>166</v>
      </c>
      <c r="F1" s="6" t="s">
        <v>226</v>
      </c>
      <c r="G1" s="6" t="s">
        <v>227</v>
      </c>
      <c r="H1" s="6" t="s">
        <v>167</v>
      </c>
      <c r="I1" s="6" t="s">
        <v>234</v>
      </c>
      <c r="J1" s="6" t="s">
        <v>237</v>
      </c>
      <c r="K1" s="6" t="s">
        <v>4</v>
      </c>
      <c r="L1" s="6" t="s">
        <v>210</v>
      </c>
      <c r="M1" s="6" t="s">
        <v>212</v>
      </c>
      <c r="N1" s="6" t="s">
        <v>168</v>
      </c>
      <c r="O1" s="6" t="s">
        <v>185</v>
      </c>
      <c r="P1" s="6" t="s">
        <v>192</v>
      </c>
      <c r="Q1" s="6" t="s">
        <v>186</v>
      </c>
      <c r="R1" s="6" t="s">
        <v>187</v>
      </c>
      <c r="S1" s="6" t="s">
        <v>188</v>
      </c>
      <c r="T1" s="6" t="s">
        <v>189</v>
      </c>
      <c r="U1" s="6" t="s">
        <v>193</v>
      </c>
      <c r="V1" s="6" t="s">
        <v>194</v>
      </c>
      <c r="W1" s="6" t="s">
        <v>213</v>
      </c>
      <c r="X1" s="6" t="s">
        <v>169</v>
      </c>
      <c r="Y1" s="6" t="s">
        <v>169</v>
      </c>
      <c r="Z1" s="6" t="s">
        <v>169</v>
      </c>
      <c r="AA1" s="6" t="s">
        <v>169</v>
      </c>
      <c r="AB1" s="6" t="s">
        <v>169</v>
      </c>
      <c r="AC1" s="6" t="s">
        <v>169</v>
      </c>
      <c r="AD1" s="6" t="s">
        <v>169</v>
      </c>
      <c r="AE1" s="6" t="s">
        <v>169</v>
      </c>
    </row>
    <row r="2" spans="1:31" s="6" customFormat="1" x14ac:dyDescent="0.2">
      <c r="A2" s="6" t="s">
        <v>170</v>
      </c>
      <c r="B2" s="6" t="s">
        <v>220</v>
      </c>
      <c r="C2" s="6" t="s">
        <v>171</v>
      </c>
      <c r="D2" s="6" t="s">
        <v>172</v>
      </c>
      <c r="E2" s="6" t="s">
        <v>196</v>
      </c>
      <c r="F2" s="6" t="s">
        <v>206</v>
      </c>
      <c r="G2" s="6" t="s">
        <v>207</v>
      </c>
      <c r="H2" s="6" t="s">
        <v>173</v>
      </c>
      <c r="I2" s="6" t="s">
        <v>232</v>
      </c>
      <c r="J2" s="6" t="s">
        <v>235</v>
      </c>
      <c r="K2" s="6" t="s">
        <v>1</v>
      </c>
      <c r="L2" s="6" t="s">
        <v>209</v>
      </c>
      <c r="M2" s="6" t="s">
        <v>211</v>
      </c>
      <c r="N2" s="6" t="s">
        <v>197</v>
      </c>
      <c r="O2" s="6" t="s">
        <v>198</v>
      </c>
      <c r="P2" s="6" t="s">
        <v>199</v>
      </c>
      <c r="Q2" s="6" t="s">
        <v>200</v>
      </c>
      <c r="R2" s="6" t="s">
        <v>201</v>
      </c>
      <c r="S2" s="6" t="s">
        <v>202</v>
      </c>
      <c r="T2" s="6" t="s">
        <v>203</v>
      </c>
      <c r="U2" s="6" t="s">
        <v>195</v>
      </c>
      <c r="V2" s="6" t="s">
        <v>204</v>
      </c>
      <c r="W2" s="6" t="s">
        <v>208</v>
      </c>
      <c r="X2" s="6" t="s">
        <v>175</v>
      </c>
      <c r="Y2" s="6" t="s">
        <v>175</v>
      </c>
      <c r="Z2" s="6" t="s">
        <v>175</v>
      </c>
      <c r="AA2" s="6" t="s">
        <v>175</v>
      </c>
      <c r="AB2" s="6" t="s">
        <v>175</v>
      </c>
      <c r="AC2" s="6" t="s">
        <v>175</v>
      </c>
      <c r="AD2" s="6" t="s">
        <v>175</v>
      </c>
      <c r="AE2" s="6" t="s">
        <v>175</v>
      </c>
    </row>
    <row r="3" spans="1:31" x14ac:dyDescent="0.2">
      <c r="A3" s="3" t="s">
        <v>190</v>
      </c>
      <c r="B3" s="3" t="s">
        <v>216</v>
      </c>
      <c r="C3" s="3" t="s">
        <v>205</v>
      </c>
      <c r="D3" s="4" t="str">
        <f>"abilities/items/"&amp;I3&amp;"/"&amp;A3</f>
        <v>abilities/items/consumable/item_essence_str_1</v>
      </c>
      <c r="E3" s="4"/>
      <c r="F3" s="4" t="s">
        <v>225</v>
      </c>
      <c r="G3" s="4"/>
      <c r="H3" s="3" t="s">
        <v>214</v>
      </c>
      <c r="I3" s="3" t="s">
        <v>233</v>
      </c>
      <c r="J3" s="3" t="s">
        <v>236</v>
      </c>
      <c r="K3" s="3" t="s">
        <v>228</v>
      </c>
      <c r="P3" s="3">
        <v>50</v>
      </c>
      <c r="Q3" s="3">
        <v>1</v>
      </c>
      <c r="R3" s="3">
        <v>1</v>
      </c>
      <c r="S3" s="3">
        <v>0</v>
      </c>
      <c r="T3" s="3">
        <v>1</v>
      </c>
      <c r="V3" s="3">
        <v>1</v>
      </c>
      <c r="W3" s="3">
        <v>100</v>
      </c>
      <c r="X3" s="1" t="s">
        <v>229</v>
      </c>
      <c r="Y3" s="1" t="s">
        <v>230</v>
      </c>
      <c r="Z3" s="1" t="s">
        <v>231</v>
      </c>
      <c r="AA3" s="5"/>
      <c r="AB3" s="5"/>
    </row>
    <row r="4" spans="1:31" x14ac:dyDescent="0.2">
      <c r="X4" s="1">
        <v>150</v>
      </c>
      <c r="Y4" s="1">
        <v>15</v>
      </c>
      <c r="Z4" s="1">
        <v>10</v>
      </c>
      <c r="AA4" s="2"/>
      <c r="AB4" s="2"/>
    </row>
    <row r="5" spans="1:31" customFormat="1" x14ac:dyDescent="0.2">
      <c r="A5" s="9" t="s">
        <v>221</v>
      </c>
      <c r="B5" s="9" t="s">
        <v>217</v>
      </c>
      <c r="C5" s="9" t="s">
        <v>205</v>
      </c>
      <c r="D5" s="4" t="str">
        <f t="shared" ref="D5" si="0">"abilities/items/"&amp;I5&amp;"/"&amp;A5</f>
        <v>abilities/items/consumable/item_clarity2</v>
      </c>
      <c r="E5" s="4"/>
      <c r="F5" s="9" t="s">
        <v>225</v>
      </c>
      <c r="G5" s="9"/>
      <c r="H5" s="9" t="s">
        <v>224</v>
      </c>
      <c r="I5" s="3" t="s">
        <v>233</v>
      </c>
      <c r="J5" s="3" t="s">
        <v>236</v>
      </c>
      <c r="K5" s="9" t="s">
        <v>228</v>
      </c>
      <c r="L5" s="9"/>
      <c r="M5" s="9"/>
      <c r="N5" s="9"/>
      <c r="O5" s="9"/>
      <c r="P5" s="9">
        <v>150</v>
      </c>
      <c r="Q5" s="9">
        <v>1</v>
      </c>
      <c r="R5" s="9">
        <v>1</v>
      </c>
      <c r="S5" s="9">
        <v>0</v>
      </c>
      <c r="T5" s="9">
        <v>1</v>
      </c>
      <c r="U5" s="9"/>
      <c r="V5" s="9">
        <v>1</v>
      </c>
      <c r="W5" s="9">
        <v>100</v>
      </c>
      <c r="X5" s="1" t="s">
        <v>229</v>
      </c>
      <c r="Y5" s="1" t="s">
        <v>230</v>
      </c>
      <c r="Z5" s="1" t="s">
        <v>231</v>
      </c>
    </row>
    <row r="6" spans="1:31" customFormat="1" x14ac:dyDescent="0.2">
      <c r="A6" s="9"/>
      <c r="B6" s="9"/>
      <c r="C6" s="9"/>
      <c r="D6" s="3"/>
      <c r="E6" s="3"/>
      <c r="F6" s="9"/>
      <c r="G6" s="9"/>
      <c r="H6" s="9"/>
      <c r="I6" s="3"/>
      <c r="J6" s="3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1">
        <v>300</v>
      </c>
      <c r="Y6" s="1">
        <v>30</v>
      </c>
      <c r="Z6" s="1">
        <v>10</v>
      </c>
    </row>
    <row r="7" spans="1:31" customFormat="1" x14ac:dyDescent="0.2">
      <c r="A7" s="9" t="s">
        <v>222</v>
      </c>
      <c r="B7" s="9" t="s">
        <v>218</v>
      </c>
      <c r="C7" s="9" t="s">
        <v>205</v>
      </c>
      <c r="D7" s="4" t="str">
        <f t="shared" ref="D7" si="1">"abilities/items/"&amp;I7&amp;"/"&amp;A7</f>
        <v>abilities/items/consumable/item_clarity3</v>
      </c>
      <c r="E7" s="4"/>
      <c r="F7" s="9" t="s">
        <v>225</v>
      </c>
      <c r="G7" s="9"/>
      <c r="H7" s="9" t="s">
        <v>222</v>
      </c>
      <c r="I7" s="3" t="s">
        <v>233</v>
      </c>
      <c r="J7" s="3" t="s">
        <v>236</v>
      </c>
      <c r="K7" s="9" t="s">
        <v>228</v>
      </c>
      <c r="L7" s="9"/>
      <c r="M7" s="9"/>
      <c r="N7" s="9"/>
      <c r="O7" s="9"/>
      <c r="P7" s="9">
        <v>300</v>
      </c>
      <c r="Q7" s="9">
        <v>1</v>
      </c>
      <c r="R7" s="9">
        <v>1</v>
      </c>
      <c r="S7" s="9">
        <v>0</v>
      </c>
      <c r="T7" s="9">
        <v>1</v>
      </c>
      <c r="U7" s="9"/>
      <c r="V7" s="9">
        <v>1</v>
      </c>
      <c r="W7" s="9">
        <v>100</v>
      </c>
      <c r="X7" s="1" t="s">
        <v>229</v>
      </c>
      <c r="Y7" s="1" t="s">
        <v>230</v>
      </c>
      <c r="Z7" s="1" t="s">
        <v>231</v>
      </c>
    </row>
    <row r="8" spans="1:31" customFormat="1" x14ac:dyDescent="0.2">
      <c r="A8" s="9"/>
      <c r="B8" s="9"/>
      <c r="C8" s="9"/>
      <c r="D8" s="3"/>
      <c r="E8" s="3"/>
      <c r="F8" s="9"/>
      <c r="G8" s="9"/>
      <c r="H8" s="9"/>
      <c r="I8" s="3"/>
      <c r="J8" s="3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1">
        <v>800</v>
      </c>
      <c r="Y8" s="1">
        <v>80</v>
      </c>
      <c r="Z8" s="1">
        <v>10</v>
      </c>
    </row>
    <row r="9" spans="1:31" customFormat="1" x14ac:dyDescent="0.2">
      <c r="A9" s="9" t="s">
        <v>223</v>
      </c>
      <c r="B9" s="9" t="s">
        <v>219</v>
      </c>
      <c r="C9" s="9" t="s">
        <v>205</v>
      </c>
      <c r="D9" s="4" t="str">
        <f t="shared" ref="D9" si="2">"abilities/items/"&amp;I9&amp;"/"&amp;A9</f>
        <v>abilities/items/consumable/item_clarity4</v>
      </c>
      <c r="E9" s="4"/>
      <c r="F9" s="9" t="s">
        <v>225</v>
      </c>
      <c r="G9" s="9"/>
      <c r="H9" s="9" t="s">
        <v>223</v>
      </c>
      <c r="I9" s="3" t="s">
        <v>233</v>
      </c>
      <c r="J9" s="3" t="s">
        <v>236</v>
      </c>
      <c r="K9" s="9" t="s">
        <v>228</v>
      </c>
      <c r="L9" s="9"/>
      <c r="M9" s="9"/>
      <c r="N9" s="9"/>
      <c r="O9" s="9"/>
      <c r="P9" s="9">
        <v>800</v>
      </c>
      <c r="Q9" s="9">
        <v>1</v>
      </c>
      <c r="R9" s="9">
        <v>1</v>
      </c>
      <c r="S9" s="9">
        <v>0</v>
      </c>
      <c r="T9" s="9">
        <v>1</v>
      </c>
      <c r="U9" s="9"/>
      <c r="V9" s="9">
        <v>1</v>
      </c>
      <c r="W9" s="9">
        <v>100</v>
      </c>
      <c r="X9" s="1" t="s">
        <v>229</v>
      </c>
      <c r="Y9" s="1" t="s">
        <v>230</v>
      </c>
      <c r="Z9" s="1" t="s">
        <v>231</v>
      </c>
    </row>
    <row r="10" spans="1:31" customFormat="1" x14ac:dyDescent="0.2">
      <c r="A10" s="9"/>
      <c r="B10" s="9"/>
      <c r="C10" s="9"/>
      <c r="D10" s="3"/>
      <c r="E10" s="3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1">
        <v>2000</v>
      </c>
      <c r="Y10" s="1">
        <v>200</v>
      </c>
      <c r="Z10" s="1">
        <v>10</v>
      </c>
    </row>
    <row r="11" spans="1:31" customFormat="1" x14ac:dyDescent="0.2">
      <c r="A11" s="9" t="s">
        <v>238</v>
      </c>
      <c r="B11" s="3" t="s">
        <v>243</v>
      </c>
      <c r="C11" s="9" t="s">
        <v>205</v>
      </c>
      <c r="D11" s="4" t="str">
        <f>"abilities/items/"&amp;I11&amp;"/"&amp;A11</f>
        <v>abilities/items/consumable/item_salve1</v>
      </c>
      <c r="E11" s="4"/>
      <c r="F11" s="9" t="s">
        <v>239</v>
      </c>
      <c r="G11" s="9"/>
      <c r="H11" s="9" t="s">
        <v>238</v>
      </c>
      <c r="I11" s="3" t="s">
        <v>233</v>
      </c>
      <c r="J11" s="3" t="s">
        <v>236</v>
      </c>
      <c r="K11" s="9" t="s">
        <v>228</v>
      </c>
      <c r="L11" s="9"/>
      <c r="M11" s="9"/>
      <c r="N11" s="9"/>
      <c r="O11" s="9"/>
      <c r="P11" s="3">
        <v>50</v>
      </c>
      <c r="Q11" s="3">
        <v>1</v>
      </c>
      <c r="R11" s="3">
        <v>1</v>
      </c>
      <c r="S11" s="3">
        <v>0</v>
      </c>
      <c r="T11" s="3">
        <v>1</v>
      </c>
      <c r="U11" s="3"/>
      <c r="V11" s="3">
        <v>1</v>
      </c>
      <c r="W11" s="3">
        <v>100</v>
      </c>
      <c r="X11" s="1" t="s">
        <v>247</v>
      </c>
      <c r="Y11" s="1" t="s">
        <v>248</v>
      </c>
      <c r="Z11" s="1" t="s">
        <v>231</v>
      </c>
    </row>
    <row r="12" spans="1:31" customFormat="1" x14ac:dyDescent="0.2">
      <c r="A12" s="9"/>
      <c r="B12" s="3"/>
      <c r="C12" s="9"/>
      <c r="D12" s="3"/>
      <c r="E12" s="3"/>
      <c r="F12" s="9"/>
      <c r="G12" s="9"/>
      <c r="H12" s="9"/>
      <c r="I12" s="9"/>
      <c r="J12" s="9"/>
      <c r="K12" s="9"/>
      <c r="L12" s="9"/>
      <c r="M12" s="9"/>
      <c r="N12" s="9"/>
      <c r="O12" s="9"/>
      <c r="P12" s="3"/>
      <c r="Q12" s="3"/>
      <c r="R12" s="3"/>
      <c r="S12" s="3"/>
      <c r="T12" s="3"/>
      <c r="U12" s="3"/>
      <c r="V12" s="3"/>
      <c r="W12" s="3"/>
      <c r="X12" s="1">
        <v>600</v>
      </c>
      <c r="Y12" s="1">
        <v>60</v>
      </c>
      <c r="Z12" s="1">
        <v>10</v>
      </c>
    </row>
    <row r="13" spans="1:31" customFormat="1" x14ac:dyDescent="0.2">
      <c r="A13" s="9" t="s">
        <v>240</v>
      </c>
      <c r="B13" s="9" t="s">
        <v>244</v>
      </c>
      <c r="C13" s="9" t="s">
        <v>205</v>
      </c>
      <c r="D13" s="4" t="str">
        <f t="shared" ref="D13" si="3">"abilities/items/"&amp;I13&amp;"/"&amp;A13</f>
        <v>abilities/items/consumable/item_salve2</v>
      </c>
      <c r="E13" s="4"/>
      <c r="F13" s="9" t="s">
        <v>239</v>
      </c>
      <c r="G13" s="9"/>
      <c r="H13" s="9" t="s">
        <v>240</v>
      </c>
      <c r="I13" s="3" t="s">
        <v>233</v>
      </c>
      <c r="J13" s="3" t="s">
        <v>236</v>
      </c>
      <c r="K13" s="9" t="s">
        <v>228</v>
      </c>
      <c r="L13" s="9"/>
      <c r="M13" s="9"/>
      <c r="N13" s="9"/>
      <c r="O13" s="9"/>
      <c r="P13" s="9">
        <v>150</v>
      </c>
      <c r="Q13" s="9">
        <v>1</v>
      </c>
      <c r="R13" s="9">
        <v>1</v>
      </c>
      <c r="S13" s="9">
        <v>0</v>
      </c>
      <c r="T13" s="9">
        <v>1</v>
      </c>
      <c r="U13" s="9"/>
      <c r="V13" s="9">
        <v>1</v>
      </c>
      <c r="W13" s="9">
        <v>100</v>
      </c>
      <c r="X13" s="1" t="s">
        <v>247</v>
      </c>
      <c r="Y13" s="1" t="s">
        <v>248</v>
      </c>
      <c r="Z13" s="1" t="s">
        <v>231</v>
      </c>
    </row>
    <row r="14" spans="1:31" customFormat="1" x14ac:dyDescent="0.2">
      <c r="A14" s="9"/>
      <c r="B14" s="9"/>
      <c r="C14" s="9"/>
      <c r="D14" s="3"/>
      <c r="E14" s="3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1">
        <v>1500</v>
      </c>
      <c r="Y14" s="1">
        <v>150</v>
      </c>
      <c r="Z14" s="1">
        <v>10</v>
      </c>
    </row>
    <row r="15" spans="1:31" customFormat="1" x14ac:dyDescent="0.2">
      <c r="A15" s="9" t="s">
        <v>241</v>
      </c>
      <c r="B15" s="9" t="s">
        <v>245</v>
      </c>
      <c r="C15" s="9" t="s">
        <v>205</v>
      </c>
      <c r="D15" s="4" t="str">
        <f t="shared" ref="D15" si="4">"abilities/items/"&amp;I15&amp;"/"&amp;A15</f>
        <v>abilities/items/consumable/item_salve3</v>
      </c>
      <c r="E15" s="4"/>
      <c r="F15" s="9" t="s">
        <v>239</v>
      </c>
      <c r="G15" s="9"/>
      <c r="H15" s="9" t="s">
        <v>241</v>
      </c>
      <c r="I15" s="3" t="s">
        <v>233</v>
      </c>
      <c r="J15" s="3" t="s">
        <v>236</v>
      </c>
      <c r="K15" s="9" t="s">
        <v>228</v>
      </c>
      <c r="L15" s="9"/>
      <c r="M15" s="9"/>
      <c r="N15" s="9"/>
      <c r="O15" s="9"/>
      <c r="P15" s="9">
        <v>300</v>
      </c>
      <c r="Q15" s="9">
        <v>1</v>
      </c>
      <c r="R15" s="9">
        <v>1</v>
      </c>
      <c r="S15" s="9">
        <v>0</v>
      </c>
      <c r="T15" s="9">
        <v>1</v>
      </c>
      <c r="U15" s="9"/>
      <c r="V15" s="9">
        <v>1</v>
      </c>
      <c r="W15" s="9">
        <v>100</v>
      </c>
      <c r="X15" s="1" t="s">
        <v>247</v>
      </c>
      <c r="Y15" s="1" t="s">
        <v>248</v>
      </c>
      <c r="Z15" s="1" t="s">
        <v>231</v>
      </c>
    </row>
    <row r="16" spans="1:31" customFormat="1" x14ac:dyDescent="0.2">
      <c r="A16" s="9"/>
      <c r="B16" s="9"/>
      <c r="C16" s="9"/>
      <c r="D16" s="3"/>
      <c r="E16" s="3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1">
        <v>3000</v>
      </c>
      <c r="Y16" s="1">
        <v>300</v>
      </c>
      <c r="Z16" s="1">
        <v>10</v>
      </c>
    </row>
    <row r="17" spans="1:26" customFormat="1" x14ac:dyDescent="0.2">
      <c r="A17" s="9" t="s">
        <v>242</v>
      </c>
      <c r="B17" s="9" t="s">
        <v>246</v>
      </c>
      <c r="C17" s="9" t="s">
        <v>205</v>
      </c>
      <c r="D17" s="4" t="str">
        <f t="shared" ref="D17" si="5">"abilities/items/"&amp;I17&amp;"/"&amp;A17</f>
        <v>abilities/items/consumable/item_salve4</v>
      </c>
      <c r="E17" s="4"/>
      <c r="F17" s="9" t="s">
        <v>239</v>
      </c>
      <c r="G17" s="9"/>
      <c r="H17" s="9" t="s">
        <v>242</v>
      </c>
      <c r="I17" s="3" t="s">
        <v>233</v>
      </c>
      <c r="J17" s="3" t="s">
        <v>236</v>
      </c>
      <c r="K17" s="9" t="s">
        <v>228</v>
      </c>
      <c r="L17" s="9"/>
      <c r="M17" s="9"/>
      <c r="N17" s="9"/>
      <c r="O17" s="9"/>
      <c r="P17" s="9">
        <v>800</v>
      </c>
      <c r="Q17" s="9">
        <v>1</v>
      </c>
      <c r="R17" s="9">
        <v>1</v>
      </c>
      <c r="S17" s="9">
        <v>0</v>
      </c>
      <c r="T17" s="9">
        <v>1</v>
      </c>
      <c r="U17" s="9"/>
      <c r="V17" s="9">
        <v>1</v>
      </c>
      <c r="W17" s="9">
        <v>100</v>
      </c>
      <c r="X17" s="1" t="s">
        <v>247</v>
      </c>
      <c r="Y17" s="1" t="s">
        <v>248</v>
      </c>
      <c r="Z17" s="1" t="s">
        <v>231</v>
      </c>
    </row>
    <row r="18" spans="1:26" customFormat="1" x14ac:dyDescent="0.2">
      <c r="A18" s="9"/>
      <c r="B18" s="9"/>
      <c r="C18" s="9"/>
      <c r="D18" s="3"/>
      <c r="E18" s="3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1">
        <v>6000</v>
      </c>
      <c r="Y18" s="1">
        <v>600</v>
      </c>
      <c r="Z18" s="1">
        <v>10</v>
      </c>
    </row>
    <row r="19" spans="1:26" customFormat="1" x14ac:dyDescent="0.2">
      <c r="A19" s="9" t="s">
        <v>249</v>
      </c>
      <c r="B19" s="3" t="s">
        <v>250</v>
      </c>
      <c r="C19" s="9" t="s">
        <v>205</v>
      </c>
      <c r="D19" s="4" t="str">
        <f t="shared" ref="D19" si="6">"abilities/items/"&amp;I19&amp;"/"&amp;A19</f>
        <v>abilities/items/consumable/item_salve1_pack</v>
      </c>
      <c r="E19" s="4"/>
      <c r="F19" s="9" t="s">
        <v>239</v>
      </c>
      <c r="G19" s="9"/>
      <c r="H19" s="9" t="s">
        <v>249</v>
      </c>
      <c r="I19" s="3" t="s">
        <v>233</v>
      </c>
      <c r="J19" s="3" t="s">
        <v>236</v>
      </c>
      <c r="K19" s="9" t="s">
        <v>228</v>
      </c>
      <c r="L19" s="9"/>
      <c r="M19" s="9"/>
      <c r="N19" s="9"/>
      <c r="O19" s="9"/>
      <c r="P19" s="9">
        <v>2000</v>
      </c>
      <c r="Q19" s="9">
        <v>1</v>
      </c>
      <c r="R19" s="9">
        <v>1</v>
      </c>
      <c r="S19" s="9">
        <v>0</v>
      </c>
      <c r="T19" s="9"/>
      <c r="U19" s="9">
        <v>1</v>
      </c>
      <c r="V19" s="9">
        <v>1</v>
      </c>
      <c r="W19" s="9">
        <v>100</v>
      </c>
      <c r="X19" s="10" t="s">
        <v>253</v>
      </c>
      <c r="Y19" s="10"/>
      <c r="Z19" s="10"/>
    </row>
    <row r="20" spans="1:26" customFormat="1" x14ac:dyDescent="0.2">
      <c r="A20" s="9"/>
      <c r="B20" s="9"/>
      <c r="C20" s="9"/>
      <c r="D20" s="3"/>
      <c r="E20" s="3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10">
        <v>50</v>
      </c>
      <c r="Y20" s="10"/>
      <c r="Z20" s="10"/>
    </row>
    <row r="21" spans="1:26" customFormat="1" x14ac:dyDescent="0.2">
      <c r="A21" s="9" t="s">
        <v>251</v>
      </c>
      <c r="B21" s="3" t="s">
        <v>252</v>
      </c>
      <c r="C21" s="9" t="s">
        <v>205</v>
      </c>
      <c r="D21" s="4" t="str">
        <f t="shared" ref="D21" si="7">"abilities/items/"&amp;I21&amp;"/"&amp;A21</f>
        <v>abilities/items/consumable/item_clarity1_pack</v>
      </c>
      <c r="E21" s="4"/>
      <c r="F21" s="9" t="s">
        <v>239</v>
      </c>
      <c r="G21" s="9"/>
      <c r="H21" s="9" t="s">
        <v>251</v>
      </c>
      <c r="I21" s="3" t="s">
        <v>233</v>
      </c>
      <c r="J21" s="3" t="s">
        <v>236</v>
      </c>
      <c r="K21" s="9" t="s">
        <v>228</v>
      </c>
      <c r="L21" s="9"/>
      <c r="M21" s="9"/>
      <c r="N21" s="9"/>
      <c r="O21" s="9"/>
      <c r="P21" s="9">
        <v>2000</v>
      </c>
      <c r="Q21" s="9">
        <v>1</v>
      </c>
      <c r="R21" s="9">
        <v>1</v>
      </c>
      <c r="S21" s="9">
        <v>0</v>
      </c>
      <c r="T21" s="9"/>
      <c r="U21" s="9">
        <v>1</v>
      </c>
      <c r="V21" s="9">
        <v>1</v>
      </c>
      <c r="W21" s="9">
        <v>100</v>
      </c>
      <c r="X21" s="10" t="s">
        <v>253</v>
      </c>
      <c r="Y21" s="10"/>
      <c r="Z21" s="10"/>
    </row>
    <row r="22" spans="1:26" customFormat="1" x14ac:dyDescent="0.2">
      <c r="A22" s="9"/>
      <c r="B22" s="9"/>
      <c r="C22" s="9"/>
      <c r="D22" s="3"/>
      <c r="E22" s="3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10">
        <v>50</v>
      </c>
      <c r="Y22" s="10"/>
      <c r="Z22" s="10"/>
    </row>
    <row r="23" spans="1:26" customFormat="1" x14ac:dyDescent="0.2">
      <c r="A23" s="9" t="s">
        <v>254</v>
      </c>
      <c r="B23" s="9" t="s">
        <v>257</v>
      </c>
      <c r="C23" s="9" t="s">
        <v>260</v>
      </c>
      <c r="D23" s="9"/>
      <c r="E23" s="9">
        <v>1002</v>
      </c>
      <c r="F23" s="9"/>
      <c r="G23" s="9"/>
      <c r="H23" s="9" t="s">
        <v>254</v>
      </c>
      <c r="I23" s="3" t="s">
        <v>233</v>
      </c>
      <c r="J23" s="9"/>
      <c r="K23" s="9"/>
      <c r="L23" s="9"/>
      <c r="M23" s="9"/>
      <c r="N23" s="9"/>
      <c r="O23" s="9"/>
      <c r="P23" s="9">
        <v>10000</v>
      </c>
      <c r="Q23" s="9"/>
      <c r="R23" s="9"/>
      <c r="S23" s="9"/>
      <c r="T23" s="9"/>
      <c r="U23" s="9"/>
      <c r="V23" s="9"/>
      <c r="W23" s="9"/>
      <c r="X23" s="10"/>
      <c r="Y23" s="10"/>
      <c r="Z23" s="10"/>
    </row>
    <row r="24" spans="1:26" customFormat="1" x14ac:dyDescent="0.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10"/>
      <c r="Y24" s="10"/>
      <c r="Z24" s="10"/>
    </row>
    <row r="25" spans="1:26" customFormat="1" x14ac:dyDescent="0.2">
      <c r="A25" s="9" t="s">
        <v>254</v>
      </c>
      <c r="B25" s="9" t="s">
        <v>263</v>
      </c>
      <c r="C25" s="9" t="s">
        <v>260</v>
      </c>
      <c r="D25" s="9"/>
      <c r="E25" s="9">
        <v>1003</v>
      </c>
      <c r="F25" s="9"/>
      <c r="G25" s="9"/>
      <c r="H25" s="9" t="s">
        <v>255</v>
      </c>
      <c r="I25" s="3" t="s">
        <v>233</v>
      </c>
      <c r="J25" s="9"/>
      <c r="K25" s="9"/>
      <c r="L25" s="9"/>
      <c r="M25" s="9"/>
      <c r="N25" s="9"/>
      <c r="O25" s="9"/>
      <c r="P25" s="9">
        <v>10000</v>
      </c>
      <c r="Q25" s="9"/>
      <c r="R25" s="9"/>
      <c r="S25" s="9"/>
      <c r="T25" s="9"/>
      <c r="U25" s="9"/>
      <c r="V25" s="9"/>
      <c r="W25" s="9"/>
      <c r="X25" s="10"/>
      <c r="Y25" s="10"/>
      <c r="Z25" s="10"/>
    </row>
    <row r="26" spans="1:26" customFormat="1" x14ac:dyDescent="0.2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10"/>
      <c r="Y26" s="10"/>
      <c r="Z26" s="10"/>
    </row>
    <row r="27" spans="1:26" customFormat="1" x14ac:dyDescent="0.2">
      <c r="A27" s="9" t="s">
        <v>254</v>
      </c>
      <c r="B27" s="9" t="s">
        <v>264</v>
      </c>
      <c r="C27" s="9" t="s">
        <v>260</v>
      </c>
      <c r="D27" s="9"/>
      <c r="E27" s="9">
        <v>1004</v>
      </c>
      <c r="F27" s="9"/>
      <c r="G27" s="9"/>
      <c r="H27" s="9" t="s">
        <v>256</v>
      </c>
      <c r="I27" s="3" t="s">
        <v>233</v>
      </c>
      <c r="J27" s="9"/>
      <c r="K27" s="9"/>
      <c r="L27" s="9"/>
      <c r="M27" s="9"/>
      <c r="N27" s="9"/>
      <c r="O27" s="9"/>
      <c r="P27" s="9">
        <v>10000</v>
      </c>
      <c r="Q27" s="9"/>
      <c r="R27" s="9"/>
      <c r="S27" s="9"/>
      <c r="T27" s="9"/>
      <c r="U27" s="9"/>
      <c r="V27" s="9"/>
      <c r="W27" s="9"/>
      <c r="X27" s="10"/>
      <c r="Y27" s="10"/>
      <c r="Z27" s="10"/>
    </row>
    <row r="28" spans="1:26" customFormat="1" x14ac:dyDescent="0.2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0"/>
      <c r="Y28" s="10"/>
      <c r="Z28" s="10"/>
    </row>
    <row r="29" spans="1:26" customFormat="1" x14ac:dyDescent="0.2">
      <c r="A29" s="9" t="s">
        <v>255</v>
      </c>
      <c r="B29" s="9" t="s">
        <v>258</v>
      </c>
      <c r="C29" s="9" t="s">
        <v>260</v>
      </c>
      <c r="D29" s="9"/>
      <c r="E29" s="9">
        <v>1709</v>
      </c>
      <c r="F29" s="9"/>
      <c r="G29" s="9"/>
      <c r="H29" s="9" t="s">
        <v>255</v>
      </c>
      <c r="I29" s="3" t="s">
        <v>233</v>
      </c>
      <c r="J29" s="9"/>
      <c r="K29" s="9"/>
      <c r="L29" s="9"/>
      <c r="M29" s="9"/>
      <c r="N29" s="9"/>
      <c r="O29" s="9"/>
      <c r="P29" s="9">
        <v>95000</v>
      </c>
      <c r="Q29" s="9"/>
      <c r="R29" s="9"/>
      <c r="S29" s="9"/>
      <c r="T29" s="9"/>
      <c r="U29" s="9"/>
      <c r="V29" s="9"/>
      <c r="W29" s="9"/>
      <c r="X29" s="10"/>
      <c r="Y29" s="10"/>
      <c r="Z29" s="10"/>
    </row>
    <row r="30" spans="1:26" customFormat="1" x14ac:dyDescent="0.2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0"/>
      <c r="Y30" s="10"/>
      <c r="Z30" s="10"/>
    </row>
    <row r="31" spans="1:26" customFormat="1" x14ac:dyDescent="0.2">
      <c r="A31" s="9" t="s">
        <v>261</v>
      </c>
      <c r="B31" s="9" t="s">
        <v>265</v>
      </c>
      <c r="C31" s="9" t="s">
        <v>260</v>
      </c>
      <c r="D31" s="9"/>
      <c r="E31" s="9">
        <v>1710</v>
      </c>
      <c r="F31" s="9"/>
      <c r="G31" s="9"/>
      <c r="H31" s="9" t="s">
        <v>255</v>
      </c>
      <c r="I31" s="3" t="s">
        <v>233</v>
      </c>
      <c r="J31" s="9"/>
      <c r="K31" s="9"/>
      <c r="L31" s="9"/>
      <c r="M31" s="9"/>
      <c r="N31" s="9"/>
      <c r="O31" s="9"/>
      <c r="P31" s="9">
        <v>95000</v>
      </c>
      <c r="Q31" s="9"/>
      <c r="R31" s="9"/>
      <c r="S31" s="9"/>
      <c r="T31" s="9"/>
      <c r="U31" s="9"/>
      <c r="V31" s="9"/>
      <c r="W31" s="9"/>
      <c r="X31" s="10"/>
      <c r="Y31" s="10"/>
      <c r="Z31" s="10"/>
    </row>
    <row r="32" spans="1:26" customFormat="1" x14ac:dyDescent="0.2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10"/>
      <c r="Y32" s="10"/>
      <c r="Z32" s="10"/>
    </row>
    <row r="33" spans="1:26" customFormat="1" x14ac:dyDescent="0.2">
      <c r="A33" s="9" t="s">
        <v>262</v>
      </c>
      <c r="B33" s="9" t="s">
        <v>266</v>
      </c>
      <c r="C33" s="9" t="s">
        <v>260</v>
      </c>
      <c r="D33" s="9"/>
      <c r="E33" s="9">
        <v>1711</v>
      </c>
      <c r="F33" s="9"/>
      <c r="G33" s="9"/>
      <c r="H33" s="9" t="s">
        <v>255</v>
      </c>
      <c r="I33" s="3" t="s">
        <v>233</v>
      </c>
      <c r="J33" s="9"/>
      <c r="K33" s="9"/>
      <c r="L33" s="9"/>
      <c r="M33" s="9"/>
      <c r="N33" s="9"/>
      <c r="O33" s="9"/>
      <c r="P33" s="9">
        <v>95000</v>
      </c>
      <c r="Q33" s="9"/>
      <c r="R33" s="9"/>
      <c r="S33" s="9"/>
      <c r="T33" s="9"/>
      <c r="U33" s="9"/>
      <c r="V33" s="9"/>
      <c r="W33" s="9"/>
      <c r="X33" s="10"/>
      <c r="Y33" s="10"/>
      <c r="Z33" s="10"/>
    </row>
    <row r="34" spans="1:26" customFormat="1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0"/>
      <c r="Y34" s="10"/>
      <c r="Z34" s="10"/>
    </row>
    <row r="35" spans="1:26" customFormat="1" x14ac:dyDescent="0.2">
      <c r="A35" s="9" t="s">
        <v>256</v>
      </c>
      <c r="B35" s="9" t="s">
        <v>259</v>
      </c>
      <c r="C35" s="9" t="s">
        <v>260</v>
      </c>
      <c r="D35" s="9"/>
      <c r="E35" s="9">
        <v>1775</v>
      </c>
      <c r="F35" s="9"/>
      <c r="G35" s="9"/>
      <c r="H35" s="9" t="s">
        <v>256</v>
      </c>
      <c r="I35" s="3" t="s">
        <v>233</v>
      </c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10"/>
      <c r="Y35" s="10"/>
      <c r="Z35" s="10"/>
    </row>
    <row r="36" spans="1:26" customFormat="1" x14ac:dyDescent="0.2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10"/>
      <c r="Y36" s="10"/>
      <c r="Z36" s="10"/>
    </row>
    <row r="37" spans="1:26" customFormat="1" x14ac:dyDescent="0.2">
      <c r="A37" s="9" t="s">
        <v>267</v>
      </c>
      <c r="B37" s="9" t="s">
        <v>269</v>
      </c>
      <c r="C37" s="9" t="s">
        <v>260</v>
      </c>
      <c r="D37" s="9"/>
      <c r="E37" s="9">
        <v>1776</v>
      </c>
      <c r="F37" s="9"/>
      <c r="G37" s="9"/>
      <c r="H37" s="9" t="s">
        <v>256</v>
      </c>
      <c r="I37" s="3" t="s">
        <v>233</v>
      </c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10"/>
      <c r="Y37" s="10"/>
      <c r="Z37" s="10"/>
    </row>
    <row r="38" spans="1:26" customFormat="1" x14ac:dyDescent="0.2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0"/>
      <c r="Y38" s="10"/>
      <c r="Z38" s="10"/>
    </row>
    <row r="39" spans="1:26" customFormat="1" x14ac:dyDescent="0.2">
      <c r="A39" s="9" t="s">
        <v>268</v>
      </c>
      <c r="B39" s="9" t="s">
        <v>270</v>
      </c>
      <c r="C39" s="9" t="s">
        <v>260</v>
      </c>
      <c r="D39" s="9"/>
      <c r="E39" s="9">
        <v>1777</v>
      </c>
      <c r="F39" s="9"/>
      <c r="G39" s="9"/>
      <c r="H39" s="9" t="s">
        <v>256</v>
      </c>
      <c r="I39" s="3" t="s">
        <v>233</v>
      </c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10"/>
      <c r="Y39" s="10"/>
      <c r="Z39" s="10"/>
    </row>
    <row r="40" spans="1:26" customFormat="1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10"/>
      <c r="Y40" s="10"/>
      <c r="Z40" s="10"/>
    </row>
    <row r="41" spans="1:26" customFormat="1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10"/>
      <c r="Y41" s="10"/>
      <c r="Z41" s="10"/>
    </row>
    <row r="42" spans="1:26" customForma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0"/>
      <c r="Y42" s="10"/>
      <c r="Z42" s="10"/>
    </row>
    <row r="43" spans="1:26" customFormat="1" x14ac:dyDescent="0.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10"/>
      <c r="Y43" s="10"/>
      <c r="Z43" s="10"/>
    </row>
    <row r="44" spans="1:26" customFormat="1" x14ac:dyDescent="0.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10"/>
      <c r="Y44" s="10"/>
      <c r="Z44" s="10"/>
    </row>
    <row r="45" spans="1:26" customFormat="1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10"/>
      <c r="Y45" s="10"/>
      <c r="Z45" s="10"/>
    </row>
    <row r="46" spans="1:26" customFormat="1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10"/>
      <c r="Y46" s="10"/>
      <c r="Z46" s="10"/>
    </row>
    <row r="47" spans="1:26" customFormat="1" x14ac:dyDescent="0.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10"/>
      <c r="Y47" s="10"/>
      <c r="Z47" s="10"/>
    </row>
    <row r="48" spans="1:26" customFormat="1" x14ac:dyDescent="0.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10"/>
      <c r="Y48" s="10"/>
      <c r="Z48" s="10"/>
    </row>
    <row r="49" spans="1:26" customFormat="1" x14ac:dyDescent="0.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10"/>
      <c r="Y49" s="10"/>
      <c r="Z49" s="10"/>
    </row>
    <row r="50" spans="1:26" customFormat="1" x14ac:dyDescent="0.2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10"/>
      <c r="Y50" s="10"/>
      <c r="Z50" s="10"/>
    </row>
    <row r="51" spans="1:26" customFormat="1" x14ac:dyDescent="0.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10"/>
      <c r="Y51" s="10"/>
      <c r="Z51" s="10"/>
    </row>
    <row r="52" spans="1:26" customFormat="1" x14ac:dyDescent="0.2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10"/>
      <c r="Y52" s="10"/>
      <c r="Z52" s="10"/>
    </row>
    <row r="53" spans="1:26" customFormat="1" x14ac:dyDescent="0.2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10"/>
      <c r="Y53" s="10"/>
      <c r="Z53" s="10"/>
    </row>
    <row r="54" spans="1:26" customFormat="1" x14ac:dyDescent="0.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10"/>
      <c r="Y54" s="10"/>
      <c r="Z54" s="10"/>
    </row>
    <row r="55" spans="1:26" customFormat="1" x14ac:dyDescent="0.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10"/>
      <c r="Y55" s="10"/>
      <c r="Z55" s="10"/>
    </row>
    <row r="56" spans="1:26" customFormat="1" x14ac:dyDescent="0.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10"/>
      <c r="Y56" s="10"/>
      <c r="Z56" s="10"/>
    </row>
    <row r="57" spans="1:26" customFormat="1" x14ac:dyDescent="0.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10"/>
      <c r="Y57" s="10"/>
      <c r="Z57" s="10"/>
    </row>
    <row r="58" spans="1:26" customFormat="1" x14ac:dyDescent="0.2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10"/>
      <c r="Y58" s="10"/>
      <c r="Z58" s="10"/>
    </row>
    <row r="59" spans="1:26" customFormat="1" x14ac:dyDescent="0.2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10"/>
      <c r="Y59" s="10"/>
      <c r="Z59" s="10"/>
    </row>
    <row r="60" spans="1:26" customFormat="1" x14ac:dyDescent="0.2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10"/>
      <c r="Y60" s="10"/>
      <c r="Z60" s="10"/>
    </row>
    <row r="61" spans="1:26" customFormat="1" x14ac:dyDescent="0.2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10"/>
      <c r="Y61" s="10"/>
      <c r="Z61" s="10"/>
    </row>
    <row r="62" spans="1:26" customFormat="1" x14ac:dyDescent="0.2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10"/>
      <c r="Y62" s="10"/>
      <c r="Z62" s="10"/>
    </row>
    <row r="63" spans="1:26" customFormat="1" x14ac:dyDescent="0.2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10"/>
      <c r="Y63" s="10"/>
      <c r="Z63" s="10"/>
    </row>
    <row r="64" spans="1:26" customFormat="1" x14ac:dyDescent="0.2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10"/>
      <c r="Y64" s="10"/>
      <c r="Z64" s="10"/>
    </row>
    <row r="65" spans="1:26" customFormat="1" x14ac:dyDescent="0.2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10"/>
      <c r="Y65" s="10"/>
      <c r="Z65" s="10"/>
    </row>
    <row r="66" spans="1:26" customFormat="1" x14ac:dyDescent="0.2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10"/>
      <c r="Y66" s="10"/>
      <c r="Z66" s="10"/>
    </row>
    <row r="67" spans="1:26" customFormat="1" x14ac:dyDescent="0.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10"/>
      <c r="Y67" s="10"/>
      <c r="Z67" s="10"/>
    </row>
    <row r="68" spans="1:26" customFormat="1" x14ac:dyDescent="0.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10"/>
      <c r="Y68" s="10"/>
      <c r="Z68" s="10"/>
    </row>
    <row r="69" spans="1:26" customFormat="1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10"/>
      <c r="Y69" s="10"/>
      <c r="Z69" s="10"/>
    </row>
    <row r="70" spans="1:26" customFormat="1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10"/>
      <c r="Y70" s="10"/>
      <c r="Z70" s="10"/>
    </row>
    <row r="71" spans="1:26" customFormat="1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10"/>
      <c r="Y71" s="10"/>
      <c r="Z71" s="10"/>
    </row>
    <row r="72" spans="1:26" customFormat="1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10"/>
      <c r="Y72" s="10"/>
      <c r="Z72" s="10"/>
    </row>
    <row r="73" spans="1:26" customFormat="1" x14ac:dyDescent="0.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10"/>
      <c r="Y73" s="10"/>
      <c r="Z73" s="10"/>
    </row>
    <row r="74" spans="1:26" customFormat="1" x14ac:dyDescent="0.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10"/>
      <c r="Y74" s="10"/>
      <c r="Z74" s="10"/>
    </row>
    <row r="75" spans="1:26" customFormat="1" x14ac:dyDescent="0.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10"/>
      <c r="Y75" s="10"/>
      <c r="Z75" s="10"/>
    </row>
    <row r="76" spans="1:26" customFormat="1" x14ac:dyDescent="0.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10"/>
      <c r="Y76" s="10"/>
      <c r="Z76" s="10"/>
    </row>
    <row r="77" spans="1:26" customFormat="1" x14ac:dyDescent="0.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10"/>
      <c r="Y77" s="10"/>
      <c r="Z77" s="10"/>
    </row>
    <row r="78" spans="1:26" customFormat="1" x14ac:dyDescent="0.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10"/>
      <c r="Y78" s="10"/>
      <c r="Z78" s="10"/>
    </row>
    <row r="79" spans="1:26" customFormat="1" x14ac:dyDescent="0.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10"/>
      <c r="Y79" s="10"/>
      <c r="Z79" s="10"/>
    </row>
    <row r="80" spans="1:26" customFormat="1" x14ac:dyDescent="0.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10"/>
      <c r="Y80" s="10"/>
      <c r="Z80" s="10"/>
    </row>
    <row r="81" spans="1:26" customFormat="1" x14ac:dyDescent="0.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10"/>
      <c r="Y81" s="10"/>
      <c r="Z81" s="10"/>
    </row>
    <row r="82" spans="1:26" customFormat="1" x14ac:dyDescent="0.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10"/>
      <c r="Y82" s="10"/>
      <c r="Z82" s="10"/>
    </row>
    <row r="83" spans="1:26" customFormat="1" x14ac:dyDescent="0.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10"/>
      <c r="Y83" s="10"/>
      <c r="Z83" s="10"/>
    </row>
    <row r="84" spans="1:26" customFormat="1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10"/>
      <c r="Y84" s="10"/>
      <c r="Z84" s="10"/>
    </row>
    <row r="85" spans="1:26" customFormat="1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10"/>
      <c r="Y85" s="10"/>
      <c r="Z85" s="10"/>
    </row>
    <row r="86" spans="1:26" customFormat="1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10"/>
      <c r="Y86" s="10"/>
      <c r="Z86" s="10"/>
    </row>
    <row r="87" spans="1:26" customFormat="1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10"/>
      <c r="Y87" s="10"/>
      <c r="Z87" s="10"/>
    </row>
    <row r="88" spans="1:26" customFormat="1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10"/>
      <c r="Y88" s="10"/>
      <c r="Z88" s="10"/>
    </row>
    <row r="89" spans="1:26" customFormat="1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10"/>
      <c r="Y89" s="10"/>
      <c r="Z89" s="10"/>
    </row>
    <row r="90" spans="1:26" customFormat="1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10"/>
      <c r="Y90" s="10"/>
      <c r="Z90" s="10"/>
    </row>
    <row r="91" spans="1:26" customFormat="1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10"/>
      <c r="Y91" s="10"/>
      <c r="Z91" s="10"/>
    </row>
    <row r="92" spans="1:26" customFormat="1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10"/>
      <c r="Y92" s="10"/>
      <c r="Z92" s="10"/>
    </row>
    <row r="93" spans="1:26" customFormat="1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10"/>
      <c r="Y93" s="10"/>
      <c r="Z93" s="10"/>
    </row>
    <row r="94" spans="1:26" customFormat="1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10"/>
      <c r="Y94" s="10"/>
      <c r="Z94" s="10"/>
    </row>
    <row r="95" spans="1:26" customFormat="1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10"/>
      <c r="Y95" s="10"/>
      <c r="Z95" s="10"/>
    </row>
    <row r="96" spans="1:26" customFormat="1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10"/>
      <c r="Y96" s="10"/>
      <c r="Z96" s="10"/>
    </row>
    <row r="97" spans="1:26" customFormat="1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10"/>
      <c r="Y97" s="10"/>
      <c r="Z97" s="10"/>
    </row>
    <row r="98" spans="1:26" customFormat="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10"/>
      <c r="Y98" s="10"/>
      <c r="Z98" s="10"/>
    </row>
    <row r="99" spans="1:26" customFormat="1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10"/>
      <c r="Y99" s="10"/>
      <c r="Z99" s="10"/>
    </row>
    <row r="100" spans="1:26" customFormat="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10"/>
      <c r="Y100" s="10"/>
      <c r="Z100" s="10"/>
    </row>
  </sheetData>
  <phoneticPr fontId="1" type="noConversion"/>
  <conditionalFormatting sqref="A3:W4 I5:J9 I11:J11 I13:J13 I15:J15 I17:J17 D5:E22 I19:J19 I21:J21 I23 I25 I27">
    <cfRule type="expression" dxfId="11" priority="9">
      <formula>AND(ISBLANK(A3)=FALSE,MOD(ROW(),2)=0)</formula>
    </cfRule>
  </conditionalFormatting>
  <conditionalFormatting sqref="A3:XFD1000">
    <cfRule type="expression" dxfId="10" priority="10">
      <formula>MOD(ROW(A4),2)=0</formula>
    </cfRule>
    <cfRule type="expression" dxfId="9" priority="11">
      <formula>MOD(ROW(A4),4)&lt;2</formula>
    </cfRule>
    <cfRule type="expression" dxfId="8" priority="12">
      <formula>MOD(ROW(A6),4)&lt;2</formula>
    </cfRule>
  </conditionalFormatting>
  <conditionalFormatting sqref="B11:B12">
    <cfRule type="expression" dxfId="7" priority="8">
      <formula>AND(ISBLANK(B11)=FALSE,MOD(ROW(),2)=0)</formula>
    </cfRule>
  </conditionalFormatting>
  <conditionalFormatting sqref="P11:W12">
    <cfRule type="expression" dxfId="6" priority="7">
      <formula>AND(ISBLANK(P11)=FALSE,MOD(ROW(),2)=0)</formula>
    </cfRule>
  </conditionalFormatting>
  <conditionalFormatting sqref="B19">
    <cfRule type="expression" dxfId="5" priority="6">
      <formula>AND(ISBLANK(B19)=FALSE,MOD(ROW(),2)=0)</formula>
    </cfRule>
  </conditionalFormatting>
  <conditionalFormatting sqref="B21">
    <cfRule type="expression" dxfId="4" priority="5">
      <formula>AND(ISBLANK(B21)=FALSE,MOD(ROW(),2)=0)</formula>
    </cfRule>
  </conditionalFormatting>
  <conditionalFormatting sqref="I37 I35">
    <cfRule type="expression" dxfId="3" priority="4">
      <formula>AND(ISBLANK(I35)=FALSE,MOD(ROW(),2)=0)</formula>
    </cfRule>
  </conditionalFormatting>
  <conditionalFormatting sqref="I29 I31">
    <cfRule type="expression" dxfId="2" priority="3">
      <formula>AND(ISBLANK(I29)=FALSE,MOD(ROW(),2)=0)</formula>
    </cfRule>
  </conditionalFormatting>
  <conditionalFormatting sqref="I33">
    <cfRule type="expression" dxfId="1" priority="2">
      <formula>AND(ISBLANK(I33)=FALSE,MOD(ROW(),2)=0)</formula>
    </cfRule>
  </conditionalFormatting>
  <conditionalFormatting sqref="I39">
    <cfRule type="expression" dxfId="0" priority="1">
      <formula>AND(ISBLANK(I39)=FALSE,MOD(ROW(),2)=0)</formula>
    </cfRule>
  </conditionalFormatting>
  <dataValidations count="1">
    <dataValidation type="list" allowBlank="1" showInputMessage="1" showErrorMessage="1" sqref="C1:C1048576" xr:uid="{ED4CABE8-0C98-4301-87C7-A1BAACC08DFC}">
      <formula1>"item_lua,item_datadriven"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2021-06-04T16:37:48Z</dcterms:modified>
</cp:coreProperties>
</file>