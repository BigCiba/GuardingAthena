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0C716794-CBE1-4D5B-AB59-648489940648}" xr6:coauthVersionLast="47" xr6:coauthVersionMax="47" xr10:uidLastSave="{00000000-0000-0000-0000-000000000000}"/>
  <bookViews>
    <workbookView xWindow="4740" yWindow="4515" windowWidth="16710" windowHeight="13275" xr2:uid="{00000000-000D-0000-FFFF-FFFF00000000}"/>
  </bookViews>
  <sheets>
    <sheet name="Sheet1" sheetId="1" r:id="rId1"/>
    <sheet name="Sheet2" sheetId="2" r:id="rId2"/>
    <sheet name="backup_Sheet1" sheetId="11" r:id="rId3"/>
  </sheets>
  <definedNames>
    <definedName name="_xlnm._FilterDatabase" localSheetId="2" hidden="1">backup_Sheet1!$A$1:$AJ$38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1" l="1"/>
  <c r="D15" i="1"/>
  <c r="D17" i="1"/>
  <c r="D11" i="1"/>
  <c r="D121" i="11"/>
  <c r="D119" i="11"/>
  <c r="D117" i="11"/>
  <c r="D115" i="11"/>
  <c r="D113" i="11"/>
  <c r="D111" i="11"/>
  <c r="D109" i="11"/>
  <c r="D107" i="11"/>
  <c r="D105" i="11"/>
  <c r="D103" i="11"/>
  <c r="D101" i="11"/>
  <c r="D99" i="11"/>
  <c r="D97" i="11"/>
  <c r="D95" i="11"/>
  <c r="D93" i="11"/>
  <c r="D91" i="11"/>
  <c r="D89" i="11"/>
  <c r="D87" i="11"/>
  <c r="D85" i="11"/>
  <c r="D83" i="11"/>
  <c r="D81" i="11"/>
  <c r="D79" i="11"/>
  <c r="D77" i="11"/>
  <c r="D75" i="11"/>
  <c r="D73" i="11"/>
  <c r="D71" i="11"/>
  <c r="D69" i="11"/>
  <c r="D67" i="11"/>
  <c r="D65" i="11"/>
  <c r="D63" i="11"/>
  <c r="D61" i="11"/>
  <c r="D59" i="11"/>
  <c r="D57" i="11"/>
  <c r="D55" i="11"/>
  <c r="D53" i="11"/>
  <c r="D51" i="11"/>
  <c r="D49" i="11"/>
  <c r="D47" i="11"/>
  <c r="D45" i="11"/>
  <c r="D43" i="11"/>
  <c r="D41" i="11"/>
  <c r="D21" i="11"/>
  <c r="D19" i="11"/>
  <c r="D17" i="11"/>
  <c r="D15" i="11"/>
  <c r="D13" i="11"/>
  <c r="D11" i="11"/>
  <c r="D9" i="11"/>
  <c r="D7" i="11"/>
  <c r="D5" i="11"/>
  <c r="D3" i="11"/>
  <c r="D121" i="1"/>
  <c r="D119" i="1"/>
  <c r="D117" i="1"/>
  <c r="D115" i="1"/>
  <c r="D107" i="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43" i="1"/>
  <c r="D45" i="1"/>
  <c r="D47" i="1"/>
  <c r="D49" i="1"/>
  <c r="D41" i="1"/>
  <c r="D5" i="1"/>
  <c r="D7" i="1"/>
  <c r="D9"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<sst xmlns="http://schemas.openxmlformats.org/spreadsheetml/2006/main" count="1990" uniqueCount="386">
  <si>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</si>
  <si>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</si>
  <si>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</si>
  <si>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</si>
  <si>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</si>
  <si>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</si>
  <si>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</si>
  <si>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</si>
  <si>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</si>
  <si>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</si>
  <si>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</si>
  <si>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</si>
  <si>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</si>
  <si>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</si>
  <si>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</si>
  <si>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</si>
  <si>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</si>
  <si>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</si>
  <si>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</si>
  <si>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</si>
  <si>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</si>
  <si>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</si>
  <si>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</si>
  <si>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</si>
  <si>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</si>
  <si>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</si>
  <si>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</si>
  <si>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</si>
  <si>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</si>
  <si>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</si>
  <si>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</si>
  <si>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</si>
  <si>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</si>
  <si>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</si>
  <si>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</si>
  <si>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</si>
  <si>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</si>
  <si>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</si>
  <si>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</si>
  <si>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</si>
  <si>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</si>
  <si>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</si>
  <si>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</si>
  <si>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</si>
  <si>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</si>
  <si>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</si>
  <si>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</si>
  <si>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</si>
  <si>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</si>
  <si>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</si>
  <si>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</si>
  <si>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</si>
  <si>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</si>
  <si>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</si>
  <si>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</si>
  <si>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</si>
  <si>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</si>
  <si>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</si>
  <si>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</si>
  <si>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</si>
  <si>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</si>
  <si>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</si>
  <si>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</si>
  <si>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</si>
  <si>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</si>
  <si>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</si>
  <si>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</si>
  <si>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</si>
  <si>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</si>
  <si>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</si>
  <si>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</si>
  <si>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</si>
  <si>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</si>
  <si>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</si>
  <si>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</si>
  <si>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</si>
  <si>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</si>
  <si>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</si>
  <si>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</si>
  <si>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</si>
  <si>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</si>
  <si>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</si>
  <si>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</si>
  <si>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</si>
  <si>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</si>
  <si>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</si>
  <si>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</si>
  <si>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</si>
  <si>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</si>
  <si>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</si>
  <si>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</si>
  <si>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</si>
  <si>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</si>
  <si>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</si>
  <si>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</si>
  <si>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</si>
  <si>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</si>
  <si>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</si>
  <si>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</si>
  <si>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</si>
  <si>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</si>
  <si>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</si>
  <si>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</si>
  <si>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</si>
  <si>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</si>
  <si>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</si>
  <si>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</si>
  <si>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</si>
  <si>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</si>
  <si>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</si>
  <si>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</si>
  <si>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</si>
  <si>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</si>
  <si>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</si>
  <si>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</si>
  <si>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</si>
  <si>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</si>
  <si>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</si>
  <si>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</si>
  <si>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</si>
  <si>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</si>
  <si>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</si>
  <si>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</si>
  <si>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</si>
  <si>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</si>
  <si>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</si>
  <si>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</si>
  <si>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</si>
  <si>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</si>
  <si>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</si>
  <si>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</si>
  <si>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</si>
  <si>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</si>
  <si>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</si>
  <si>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</si>
  <si>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</si>
  <si>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</si>
  <si>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</si>
  <si>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</si>
  <si>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</si>
  <si>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</si>
  <si>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</si>
  <si>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</si>
  <si>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</si>
  <si>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</si>
  <si>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</si>
  <si>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</si>
  <si>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</si>
  <si>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</si>
  <si>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</si>
  <si>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</si>
  <si>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</si>
  <si>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</si>
  <si>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</si>
  <si>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</si>
  <si>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</si>
  <si>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</si>
  <si>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</si>
  <si>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</si>
  <si>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</si>
  <si>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</si>
  <si>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</si>
  <si>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</si>
  <si>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</si>
  <si>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</si>
  <si>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</si>
  <si>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</si>
  <si>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</si>
  <si>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</si>
  <si>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</si>
  <si>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</si>
  <si>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</si>
  <si>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</si>
  <si>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</si>
  <si>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</si>
  <si>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</si>
  <si>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</si>
  <si>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</si>
  <si>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</si>
  <si>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</si>
  <si>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</si>
  <si>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</si>
  <si>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</si>
  <si>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</si>
  <si>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</si>
  <si>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</si>
  <si>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</si>
  <si>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</si>
  <si>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</si>
  <si>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</si>
  <si>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</si>
  <si>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</si>
  <si>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</si>
  <si>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</si>
  <si>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</si>
  <si>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</si>
  <si>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</si>
  <si>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</si>
  <si>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</si>
  <si>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</si>
  <si>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</si>
  <si>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</si>
  <si>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</si>
  <si>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</si>
  <si>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</si>
  <si>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</si>
  <si>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</si>
  <si>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</si>
  <si>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</si>
  <si>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</si>
  <si>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</si>
  <si>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</si>
  <si>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</si>
  <si>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</si>
  <si>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</si>
  <si>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</si>
  <si>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</si>
  <si>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</si>
  <si>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</si>
  <si>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</si>
  <si>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</si>
  <si>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</si>
  <si>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</si>
  <si>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</si>
  <si>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</si>
  <si>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</si>
  <si>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</si>
  <si>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</si>
  <si>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</si>
  <si>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</si>
  <si>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</si>
  <si>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</si>
  <si>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</si>
  <si>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</si>
  <si>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</si>
  <si>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</si>
  <si>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</si>
  <si>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</si>
  <si>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</si>
  <si>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</si>
  <si>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</si>
  <si>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</si>
  <si>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</si>
  <si>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</si>
  <si>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</si>
  <si>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</si>
  <si>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</si>
  <si>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</si>
  <si>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</si>
  <si>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</si>
  <si>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</si>
  <si>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</si>
  <si>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</si>
  <si>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</si>
  <si>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</si>
  <si>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</si>
  <si>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</si>
  <si>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</si>
  <si>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</si>
  <si>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</si>
  <si>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</si>
  <si>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</si>
  <si>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</si>
  <si>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</si>
  <si>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</si>
  <si>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</si>
  <si>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</si>
  <si>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</si>
  <si>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</si>
  <si>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</si>
  <si>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施法距离</t>
  </si>
  <si>
    <t>item_jian_1</t>
    <phoneticPr fontId="1" type="noConversion"/>
  </si>
  <si>
    <t>item_fazhang_1</t>
    <phoneticPr fontId="1" type="noConversion"/>
  </si>
  <si>
    <t>item_gong_1</t>
    <phoneticPr fontId="1" type="noConversion"/>
  </si>
  <si>
    <t>component</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</si>
  <si>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</si>
  <si>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</si>
  <si>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</si>
  <si>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</si>
  <si>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</si>
  <si>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</si>
  <si>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</si>
  <si>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</si>
  <si>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</si>
  <si>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</si>
  <si>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</si>
  <si>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</si>
  <si>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</si>
  <si>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</si>
  <si>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</si>
  <si>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</si>
  <si>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</si>
  <si>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</si>
  <si>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</si>
  <si>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</si>
  <si>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</si>
  <si>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</si>
  <si>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</si>
  <si>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</si>
  <si>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</si>
  <si>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</si>
  <si>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</si>
  <si>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</si>
  <si>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</si>
  <si>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</si>
  <si>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</si>
  <si>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</si>
  <si>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</si>
  <si>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</si>
  <si>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</si>
  <si>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</si>
  <si>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</si>
  <si>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</si>
  <si>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</si>
  <si>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</si>
  <si>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</si>
  <si>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</si>
  <si>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</si>
  <si>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</si>
  <si>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</si>
  <si>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</si>
  <si>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</si>
  <si>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</si>
  <si>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</si>
  <si>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</si>
  <si>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</si>
  <si>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</si>
  <si>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</si>
  <si>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</si>
  <si>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</si>
  <si>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</si>
  <si>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</si>
  <si>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</si>
  <si>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</si>
  <si>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</si>
  <si>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</si>
  <si>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</si>
  <si>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</si>
  <si>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</si>
  <si>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</si>
  <si>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</si>
  <si>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</si>
  <si>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</si>
  <si>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item_jia_1</t>
    <phoneticPr fontId="1" type="noConversion"/>
  </si>
  <si>
    <t>item_xie_1</t>
    <phoneticPr fontId="1" type="noConversion"/>
  </si>
  <si>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</si>
  <si>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</si>
  <si>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</si>
  <si>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</si>
  <si>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</si>
  <si>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</si>
  <si>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</si>
  <si>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</si>
  <si>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</si>
  <si>
    <t>item_jian_6</t>
    <phoneticPr fontId="1" type="noConversion"/>
  </si>
  <si>
    <t>item_jian_7</t>
    <phoneticPr fontId="1" type="noConversion"/>
  </si>
  <si>
    <t>item_jian_8</t>
    <phoneticPr fontId="1" type="noConversion"/>
  </si>
  <si>
    <t>item_jian_9</t>
    <phoneticPr fontId="1" type="noConversion"/>
  </si>
  <si>
    <t>item_fazhang_6</t>
    <phoneticPr fontId="1" type="noConversion"/>
  </si>
  <si>
    <t>item_fazhang_7</t>
    <phoneticPr fontId="1" type="noConversion"/>
  </si>
  <si>
    <t>item_fazhang_8</t>
    <phoneticPr fontId="1" type="noConversion"/>
  </si>
  <si>
    <t>item_fazhang_9</t>
    <phoneticPr fontId="1" type="noConversion"/>
  </si>
  <si>
    <t>item_gong_6</t>
    <phoneticPr fontId="1" type="noConversion"/>
  </si>
  <si>
    <t>item_gong_7</t>
    <phoneticPr fontId="1" type="noConversion"/>
  </si>
  <si>
    <t>item_gong_8</t>
    <phoneticPr fontId="1" type="noConversion"/>
  </si>
  <si>
    <t>item_gong_9</t>
    <phoneticPr fontId="1" type="noConversion"/>
  </si>
  <si>
    <t>item_jia_2</t>
    <phoneticPr fontId="1" type="noConversion"/>
  </si>
  <si>
    <t>item_jia_3</t>
    <phoneticPr fontId="1" type="noConversion"/>
  </si>
  <si>
    <t>item_jia_4</t>
    <phoneticPr fontId="1" type="noConversion"/>
  </si>
  <si>
    <t>item_jia_5</t>
    <phoneticPr fontId="1" type="noConversion"/>
  </si>
  <si>
    <t>item_xie_2</t>
    <phoneticPr fontId="1" type="noConversion"/>
  </si>
  <si>
    <t>item_xie_3</t>
    <phoneticPr fontId="1" type="noConversion"/>
  </si>
  <si>
    <t>item_xie_4</t>
    <phoneticPr fontId="1" type="noConversion"/>
  </si>
  <si>
    <t>item_xie_5</t>
    <phoneticPr fontId="1" type="noConversion"/>
  </si>
  <si>
    <t>auto_health</t>
    <phoneticPr fontId="1" type="noConversion"/>
  </si>
  <si>
    <t>auto_movespeed</t>
    <phoneticPr fontId="1" type="noConversion"/>
  </si>
  <si>
    <t>auto_mana</t>
    <phoneticPr fontId="1" type="noConversion"/>
  </si>
  <si>
    <t>item_enchant_critical</t>
    <phoneticPr fontId="1" type="noConversion"/>
  </si>
  <si>
    <t>item_enchant_lifesteal</t>
    <phoneticPr fontId="1" type="noConversion"/>
  </si>
  <si>
    <t>item_enchant</t>
    <phoneticPr fontId="1" type="noConversion"/>
  </si>
  <si>
    <t>item_enchant_reduce_armor</t>
    <phoneticPr fontId="1" type="noConversion"/>
  </si>
  <si>
    <t>item_enchant_reduce_resistance</t>
    <phoneticPr fontId="1" type="noConversion"/>
  </si>
  <si>
    <t>critical_mutiple</t>
    <phoneticPr fontId="1" type="noConversion"/>
  </si>
  <si>
    <t>lifesteal</t>
    <phoneticPr fontId="1" type="noConversion"/>
  </si>
  <si>
    <t>reduce</t>
    <phoneticPr fontId="1" type="noConversion"/>
  </si>
  <si>
    <t>ItemType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</si>
</sst>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9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24"/>
  <sheetViews>
    <sheetView tabSelected="1" workbookViewId="0">
      <pane xSplit="2" ySplit="2" topLeftCell="C3" activePane="bottomRight" state="frozen"/>
      <selection pane="topRight" activeCell="C1" sqref="C1"/>
      <selection pane="bottomLeft" activeCell="A3" sqref="A3"/>
      <selection pane="bottomRight" activeCell="D11" sqref="D11:D17"/>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"abilities/items/"&amp;I11&amp;"/item_salve"</f>
        <v>abilities/items/consumable/item_salve</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D17" si="3">"abilities/items/"&amp;I13&amp;"/item_salve"</f>
        <v>abilities/items/consumable/item_salve</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D17" si="4">"abilities/items/"&amp;I15&amp;"/item_salve"</f>
        <v>abilities/items/consumable/item_salve</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5">"abilities/items/"&amp;I17&amp;"/item_salve"</f>
        <v>abilities/items/consumable/item_salve</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6">"abilities/items/"&amp;I43&amp;"/item_jian"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7">"abilities/items/"&amp;I45&amp;"/item_jian"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8">"abilities/items/"&amp;I47&amp;"/item_jian"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9">"abilities/items/"&amp;I49&amp;"/item_jian"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0">"abilities/items/"&amp;I51&amp;"/item_jian"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1">"abilities/items/"&amp;I53&amp;"/item_jian"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2">"abilities/items/"&amp;I55&amp;"/item_jian"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3">"abilities/items/"&amp;I57&amp;"/item_jian"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4">"abilities/items/"&amp;I61&amp;"/item_fazhang"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5">"abilities/items/"&amp;I63&amp;"/item_fazhang"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6">"abilities/items/"&amp;I65&amp;"/item_fazhang"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17">"abilities/items/"&amp;I67&amp;"/item_fazhang"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18">"abilities/items/"&amp;I71&amp;"/item_fazhang"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19">"abilities/items/"&amp;I73&amp;"/item_fazhang"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0">"abilities/items/"&amp;I75&amp;"/item_fazhang"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1">"abilities/items/"&amp;I79&amp;"/item_gong"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2">"abilities/items/"&amp;I81&amp;"/item_gong"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3">"abilities/items/"&amp;I83&amp;"/item_gong"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4">"abilities/items/"&amp;I85&amp;"/item_gong"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5">"abilities/items/"&amp;I89&amp;"/item_gong"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6">"abilities/items/"&amp;I91&amp;"/item_gong"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27">"abilities/items/"&amp;I93&amp;"/item_gong"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28">"abilities/items/"&amp;I97&amp;"/item_jia"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29">"abilities/items/"&amp;I99&amp;"/item_jia"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0">"abilities/items/"&amp;I101&amp;"/item_jia"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1">"abilities/items/"&amp;I103&amp;"/item_jia"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2">"abilities/items/"&amp;I107&amp;"/item_xie"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3">"abilities/items/"&amp;I109&amp;"/item_xie"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4">"abilities/items/"&amp;I111&amp;"/item_xie"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5">"abilities/items/"&amp;I113&amp;"/item_xie"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337</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 si="36">"abilities/items/"&amp;I117&amp;"/"&amp;A117</f>
        <v>abilities/items/consumable/item_enchant_reduce_armor</v>
      </c>
      <c r="H117" s="3" t="s">
        <v>379</v>
      </c>
      <c r="I117" s="3" t="s">
        <v>337</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 si="37">"abilities/items/"&amp;I119&amp;"/"&amp;A119</f>
        <v>abilities/items/consumable/item_enchant_reduce_resistance</v>
      </c>
      <c r="H119" s="3" t="s">
        <v>379</v>
      </c>
      <c r="I119" s="3" t="s">
        <v>337</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 si="38">"abilities/items/"&amp;I121&amp;"/"&amp;A121</f>
        <v>abilities/items/consumable/item_enchant_lifesteal</v>
      </c>
      <c r="H121" s="3" t="s">
        <v>379</v>
      </c>
      <c r="I121" s="3" t="s">
        <v>337</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C123" s="9"/>
      <c r="D123" s="4"/>
      <c r="J123" s="9"/>
      <c r="K123" s="9"/>
      <c r="L123" s="9"/>
      <c r="M123" s="9"/>
    </row>
    <row r="124" spans="1:32" x14ac:dyDescent="0.2">
      <c r="C124" s="9"/>
      <c r="D124" s="9"/>
    </row>
  </sheetData>
  <phoneticPr fontId="1" type="noConversion"/>
  <conditionalFormatting sqref="J5:L9 A3:AC4 I11:L11 I13:L13 I15:L15 I17:L17 I19:L19 I21:L21 I23:J23 I25:J25 I27:J27 I3:I9 D5:E22">
    <cfRule type="expression" dxfId="196" priority="296">
      <formula>AND(ISBLANK(A3)=FALSE,MOD(ROW(),2)=0)</formula>
    </cfRule>
  </conditionalFormatting>
  <conditionalFormatting sqref="A53:AH58 A94:AH94 A59:AK60 AD63:AK68 AD69:AH76 A76:AC76 R63:AC75 R61:AK62 A61:Q75 R87:AH93 R77:AK86 A77:Q93 AO3:XFD1000 A95:AK1000 A3:AK52">
    <cfRule type="expression" dxfId="195" priority="299">
      <formula>MOD(ROW(A4),2)=0</formula>
    </cfRule>
    <cfRule type="expression" dxfId="194" priority="300">
      <formula>MOD(ROW(A4),4)&lt;2</formula>
    </cfRule>
    <cfRule type="expression" dxfId="193" priority="303">
      <formula>MOD(ROW(A6),4)&lt;2</formula>
    </cfRule>
  </conditionalFormatting>
  <conditionalFormatting sqref="B11:B12">
    <cfRule type="expression" dxfId="192" priority="93">
      <formula>AND(ISBLANK(B11)=FALSE,MOD(ROW(),2)=0)</formula>
    </cfRule>
  </conditionalFormatting>
  <conditionalFormatting sqref="T11:AC12">
    <cfRule type="expression" dxfId="191" priority="92">
      <formula>AND(ISBLANK(T11)=FALSE,MOD(ROW(),2)=0)</formula>
    </cfRule>
  </conditionalFormatting>
  <conditionalFormatting sqref="B19">
    <cfRule type="expression" dxfId="190" priority="91">
      <formula>AND(ISBLANK(B19)=FALSE,MOD(ROW(),2)=0)</formula>
    </cfRule>
  </conditionalFormatting>
  <conditionalFormatting sqref="B21">
    <cfRule type="expression" dxfId="189" priority="90">
      <formula>AND(ISBLANK(B21)=FALSE,MOD(ROW(),2)=0)</formula>
    </cfRule>
  </conditionalFormatting>
  <conditionalFormatting sqref="J37 J35">
    <cfRule type="expression" dxfId="188" priority="89">
      <formula>AND(ISBLANK(J35)=FALSE,MOD(ROW(),2)=0)</formula>
    </cfRule>
  </conditionalFormatting>
  <conditionalFormatting sqref="J29 J31">
    <cfRule type="expression" dxfId="187" priority="88">
      <formula>AND(ISBLANK(J29)=FALSE,MOD(ROW(),2)=0)</formula>
    </cfRule>
  </conditionalFormatting>
  <conditionalFormatting sqref="J33">
    <cfRule type="expression" dxfId="186" priority="87">
      <formula>AND(ISBLANK(J33)=FALSE,MOD(ROW(),2)=0)</formula>
    </cfRule>
  </conditionalFormatting>
  <conditionalFormatting sqref="J39">
    <cfRule type="expression" dxfId="185" priority="86">
      <formula>AND(ISBLANK(J39)=FALSE,MOD(ROW(),2)=0)</formula>
    </cfRule>
  </conditionalFormatting>
  <conditionalFormatting sqref="I37 I35">
    <cfRule type="expression" dxfId="184" priority="85">
      <formula>AND(ISBLANK(I35)=FALSE,MOD(ROW(),2)=0)</formula>
    </cfRule>
  </conditionalFormatting>
  <conditionalFormatting sqref="I29 I31">
    <cfRule type="expression" dxfId="183" priority="84">
      <formula>AND(ISBLANK(I29)=FALSE,MOD(ROW(),2)=0)</formula>
    </cfRule>
  </conditionalFormatting>
  <conditionalFormatting sqref="I33">
    <cfRule type="expression" dxfId="182" priority="83">
      <formula>AND(ISBLANK(I33)=FALSE,MOD(ROW(),2)=0)</formula>
    </cfRule>
  </conditionalFormatting>
  <conditionalFormatting sqref="I39">
    <cfRule type="expression" dxfId="181" priority="82">
      <formula>AND(ISBLANK(I39)=FALSE,MOD(ROW(),2)=0)</formula>
    </cfRule>
  </conditionalFormatting>
  <conditionalFormatting sqref="D41 D43 D45 D47 D49 D59 D61 D63 D65 D67 D51 D53 D55 D57 D77 D79 D81 D83 D85 D69 D71 D73 D75 D87 D89 D91 D93 D95 D97 D99 D101 D103 D105 D107 D109 D111 D113 D115 D123 D117 D119 D121">
    <cfRule type="expression" dxfId="180" priority="81">
      <formula>AND(ISBLANK(D41)=FALSE,MOD(ROW(),2)=0)</formula>
    </cfRule>
  </conditionalFormatting>
  <conditionalFormatting sqref="AL3:AL52 AL59:AL68 AL77:AL86 AL95:AL1000">
    <cfRule type="expression" dxfId="179" priority="78">
      <formula>MOD(ROW(AL4),2)=0</formula>
    </cfRule>
    <cfRule type="expression" dxfId="178" priority="79">
      <formula>MOD(ROW(AL4),4)&lt;2</formula>
    </cfRule>
    <cfRule type="expression" dxfId="177" priority="80">
      <formula>MOD(ROW(AL6),4)&lt;2</formula>
    </cfRule>
  </conditionalFormatting>
  <conditionalFormatting sqref="AM3:AM52 AM59:AM68 AM77:AM86 AM95:AM1000">
    <cfRule type="expression" dxfId="176" priority="75">
      <formula>MOD(ROW(AM4),2)=0</formula>
    </cfRule>
    <cfRule type="expression" dxfId="175" priority="76">
      <formula>MOD(ROW(AM4),4)&lt;2</formula>
    </cfRule>
    <cfRule type="expression" dxfId="174" priority="77">
      <formula>MOD(ROW(AM6),4)&lt;2</formula>
    </cfRule>
  </conditionalFormatting>
  <conditionalFormatting sqref="AN3:AN50 AN59:AN68 AN77:AN86 AN95:AN1000">
    <cfRule type="expression" dxfId="173" priority="72">
      <formula>MOD(ROW(AN4),2)=0</formula>
    </cfRule>
    <cfRule type="expression" dxfId="172" priority="73">
      <formula>MOD(ROW(AN4),4)&lt;2</formula>
    </cfRule>
    <cfRule type="expression" dxfId="171" priority="74">
      <formula>MOD(ROW(AN6),4)&lt;2</formula>
    </cfRule>
  </conditionalFormatting>
  <conditionalFormatting sqref="AN51:AN52">
    <cfRule type="expression" dxfId="170" priority="69">
      <formula>MOD(ROW(AN52),2)=0</formula>
    </cfRule>
    <cfRule type="expression" dxfId="169" priority="70">
      <formula>MOD(ROW(AN52),4)&lt;2</formula>
    </cfRule>
    <cfRule type="expression" dxfId="168" priority="71">
      <formula>MOD(ROW(AN54),4)&lt;2</formula>
    </cfRule>
  </conditionalFormatting>
  <conditionalFormatting sqref="AI53:AK58">
    <cfRule type="expression" dxfId="167" priority="66">
      <formula>MOD(ROW(AI54),2)=0</formula>
    </cfRule>
    <cfRule type="expression" dxfId="166" priority="67">
      <formula>MOD(ROW(AI54),4)&lt;2</formula>
    </cfRule>
    <cfRule type="expression" dxfId="165" priority="68">
      <formula>MOD(ROW(AI56),4)&lt;2</formula>
    </cfRule>
  </conditionalFormatting>
  <conditionalFormatting sqref="AL53:AL58">
    <cfRule type="expression" dxfId="164" priority="63">
      <formula>MOD(ROW(AL54),2)=0</formula>
    </cfRule>
    <cfRule type="expression" dxfId="163" priority="64">
      <formula>MOD(ROW(AL54),4)&lt;2</formula>
    </cfRule>
    <cfRule type="expression" dxfId="162" priority="65">
      <formula>MOD(ROW(AL56),4)&lt;2</formula>
    </cfRule>
  </conditionalFormatting>
  <conditionalFormatting sqref="AM53:AM58">
    <cfRule type="expression" dxfId="161" priority="60">
      <formula>MOD(ROW(AM54),2)=0</formula>
    </cfRule>
    <cfRule type="expression" dxfId="160" priority="61">
      <formula>MOD(ROW(AM54),4)&lt;2</formula>
    </cfRule>
    <cfRule type="expression" dxfId="159" priority="62">
      <formula>MOD(ROW(AM56),4)&lt;2</formula>
    </cfRule>
  </conditionalFormatting>
  <conditionalFormatting sqref="AN53:AN58">
    <cfRule type="expression" dxfId="158" priority="57">
      <formula>MOD(ROW(AN54),2)=0</formula>
    </cfRule>
    <cfRule type="expression" dxfId="157" priority="58">
      <formula>MOD(ROW(AN54),4)&lt;2</formula>
    </cfRule>
    <cfRule type="expression" dxfId="156" priority="59">
      <formula>MOD(ROW(AN56),4)&lt;2</formula>
    </cfRule>
  </conditionalFormatting>
  <conditionalFormatting sqref="AN89:AN94">
    <cfRule type="expression" dxfId="155" priority="9">
      <formula>MOD(ROW(AN90),2)=0</formula>
    </cfRule>
    <cfRule type="expression" dxfId="154" priority="10">
      <formula>MOD(ROW(AN90),4)&lt;2</formula>
    </cfRule>
    <cfRule type="expression" dxfId="153" priority="11">
      <formula>MOD(ROW(AN92),4)&lt;2</formula>
    </cfRule>
  </conditionalFormatting>
  <conditionalFormatting sqref="AI69:AK70">
    <cfRule type="expression" dxfId="152" priority="54">
      <formula>MOD(ROW(AI70),2)=0</formula>
    </cfRule>
    <cfRule type="expression" dxfId="151" priority="55">
      <formula>MOD(ROW(AI70),4)&lt;2</formula>
    </cfRule>
    <cfRule type="expression" dxfId="150" priority="56">
      <formula>MOD(ROW(AI72),4)&lt;2</formula>
    </cfRule>
  </conditionalFormatting>
  <conditionalFormatting sqref="AL69:AL70">
    <cfRule type="expression" dxfId="149" priority="51">
      <formula>MOD(ROW(AL70),2)=0</formula>
    </cfRule>
    <cfRule type="expression" dxfId="148" priority="52">
      <formula>MOD(ROW(AL70),4)&lt;2</formula>
    </cfRule>
    <cfRule type="expression" dxfId="147" priority="53">
      <formula>MOD(ROW(AL72),4)&lt;2</formula>
    </cfRule>
  </conditionalFormatting>
  <conditionalFormatting sqref="AM69:AM70">
    <cfRule type="expression" dxfId="146" priority="48">
      <formula>MOD(ROW(AM70),2)=0</formula>
    </cfRule>
    <cfRule type="expression" dxfId="145" priority="49">
      <formula>MOD(ROW(AM70),4)&lt;2</formula>
    </cfRule>
    <cfRule type="expression" dxfId="144" priority="50">
      <formula>MOD(ROW(AM72),4)&lt;2</formula>
    </cfRule>
  </conditionalFormatting>
  <conditionalFormatting sqref="AN69:AN70">
    <cfRule type="expression" dxfId="143" priority="45">
      <formula>MOD(ROW(AN70),2)=0</formula>
    </cfRule>
    <cfRule type="expression" dxfId="142" priority="46">
      <formula>MOD(ROW(AN70),4)&lt;2</formula>
    </cfRule>
    <cfRule type="expression" dxfId="141" priority="47">
      <formula>MOD(ROW(AN72),4)&lt;2</formula>
    </cfRule>
  </conditionalFormatting>
  <conditionalFormatting sqref="AI71:AK76">
    <cfRule type="expression" dxfId="140" priority="42">
      <formula>MOD(ROW(AI72),2)=0</formula>
    </cfRule>
    <cfRule type="expression" dxfId="139" priority="43">
      <formula>MOD(ROW(AI72),4)&lt;2</formula>
    </cfRule>
    <cfRule type="expression" dxfId="138" priority="44">
      <formula>MOD(ROW(AI74),4)&lt;2</formula>
    </cfRule>
  </conditionalFormatting>
  <conditionalFormatting sqref="AL71:AL76">
    <cfRule type="expression" dxfId="137" priority="39">
      <formula>MOD(ROW(AL72),2)=0</formula>
    </cfRule>
    <cfRule type="expression" dxfId="136" priority="40">
      <formula>MOD(ROW(AL72),4)&lt;2</formula>
    </cfRule>
    <cfRule type="expression" dxfId="135" priority="41">
      <formula>MOD(ROW(AL74),4)&lt;2</formula>
    </cfRule>
  </conditionalFormatting>
  <conditionalFormatting sqref="AM71:AM76">
    <cfRule type="expression" dxfId="134" priority="36">
      <formula>MOD(ROW(AM72),2)=0</formula>
    </cfRule>
    <cfRule type="expression" dxfId="133" priority="37">
      <formula>MOD(ROW(AM72),4)&lt;2</formula>
    </cfRule>
    <cfRule type="expression" dxfId="132" priority="38">
      <formula>MOD(ROW(AM74),4)&lt;2</formula>
    </cfRule>
  </conditionalFormatting>
  <conditionalFormatting sqref="AN71:AN76">
    <cfRule type="expression" dxfId="131" priority="33">
      <formula>MOD(ROW(AN72),2)=0</formula>
    </cfRule>
    <cfRule type="expression" dxfId="130" priority="34">
      <formula>MOD(ROW(AN72),4)&lt;2</formula>
    </cfRule>
    <cfRule type="expression" dxfId="129" priority="35">
      <formula>MOD(ROW(AN74),4)&lt;2</formula>
    </cfRule>
  </conditionalFormatting>
  <conditionalFormatting sqref="AI87:AK88">
    <cfRule type="expression" dxfId="128" priority="30">
      <formula>MOD(ROW(AI88),2)=0</formula>
    </cfRule>
    <cfRule type="expression" dxfId="127" priority="31">
      <formula>MOD(ROW(AI88),4)&lt;2</formula>
    </cfRule>
    <cfRule type="expression" dxfId="126" priority="32">
      <formula>MOD(ROW(AI90),4)&lt;2</formula>
    </cfRule>
  </conditionalFormatting>
  <conditionalFormatting sqref="AL87:AL88">
    <cfRule type="expression" dxfId="125" priority="27">
      <formula>MOD(ROW(AL88),2)=0</formula>
    </cfRule>
    <cfRule type="expression" dxfId="124" priority="28">
      <formula>MOD(ROW(AL88),4)&lt;2</formula>
    </cfRule>
    <cfRule type="expression" dxfId="123" priority="29">
      <formula>MOD(ROW(AL90),4)&lt;2</formula>
    </cfRule>
  </conditionalFormatting>
  <conditionalFormatting sqref="AM87:AM88">
    <cfRule type="expression" dxfId="122" priority="24">
      <formula>MOD(ROW(AM88),2)=0</formula>
    </cfRule>
    <cfRule type="expression" dxfId="121" priority="25">
      <formula>MOD(ROW(AM88),4)&lt;2</formula>
    </cfRule>
    <cfRule type="expression" dxfId="120" priority="26">
      <formula>MOD(ROW(AM90),4)&lt;2</formula>
    </cfRule>
  </conditionalFormatting>
  <conditionalFormatting sqref="AN87:AN88">
    <cfRule type="expression" dxfId="119" priority="21">
      <formula>MOD(ROW(AN88),2)=0</formula>
    </cfRule>
    <cfRule type="expression" dxfId="118" priority="22">
      <formula>MOD(ROW(AN88),4)&lt;2</formula>
    </cfRule>
    <cfRule type="expression" dxfId="117" priority="23">
      <formula>MOD(ROW(AN90),4)&lt;2</formula>
    </cfRule>
  </conditionalFormatting>
  <conditionalFormatting sqref="AI89:AK94">
    <cfRule type="expression" dxfId="116" priority="18">
      <formula>MOD(ROW(AI90),2)=0</formula>
    </cfRule>
    <cfRule type="expression" dxfId="115" priority="19">
      <formula>MOD(ROW(AI90),4)&lt;2</formula>
    </cfRule>
    <cfRule type="expression" dxfId="114" priority="20">
      <formula>MOD(ROW(AI92),4)&lt;2</formula>
    </cfRule>
  </conditionalFormatting>
  <conditionalFormatting sqref="AL89:AL94">
    <cfRule type="expression" dxfId="113" priority="15">
      <formula>MOD(ROW(AL90),2)=0</formula>
    </cfRule>
    <cfRule type="expression" dxfId="112" priority="16">
      <formula>MOD(ROW(AL90),4)&lt;2</formula>
    </cfRule>
    <cfRule type="expression" dxfId="111" priority="17">
      <formula>MOD(ROW(AL92),4)&lt;2</formula>
    </cfRule>
  </conditionalFormatting>
  <conditionalFormatting sqref="AM89:AM94">
    <cfRule type="expression" dxfId="110" priority="12">
      <formula>MOD(ROW(AM90),2)=0</formula>
    </cfRule>
    <cfRule type="expression" dxfId="109" priority="13">
      <formula>MOD(ROW(AM90),4)&lt;2</formula>
    </cfRule>
    <cfRule type="expression" dxfId="108" priority="14">
      <formula>MOD(ROW(AM92),4)&lt;2</formula>
    </cfRule>
  </conditionalFormatting>
  <conditionalFormatting sqref="U115:AA115">
    <cfRule type="expression" dxfId="107" priority="8">
      <formula>AND(ISBLANK(U115)=FALSE,MOD(ROW(),2)=0)</formula>
    </cfRule>
  </conditionalFormatting>
  <conditionalFormatting sqref="U117:AA117">
    <cfRule type="expression" dxfId="106" priority="7">
      <formula>AND(ISBLANK(U117)=FALSE,MOD(ROW(),2)=0)</formula>
    </cfRule>
  </conditionalFormatting>
  <conditionalFormatting sqref="U119:AA119">
    <cfRule type="expression" dxfId="105" priority="6">
      <formula>AND(ISBLANK(U119)=FALSE,MOD(ROW(),2)=0)</formula>
    </cfRule>
  </conditionalFormatting>
  <conditionalFormatting sqref="U121:AA121">
    <cfRule type="expression" dxfId="104" priority="5">
      <formula>AND(ISBLANK(U121)=FALSE,MOD(ROW(),2)=0)</formula>
    </cfRule>
  </conditionalFormatting>
  <conditionalFormatting sqref="U123:AA123">
    <cfRule type="expression" dxfId="103" priority="4">
      <formula>AND(ISBLANK(U123)=FALSE,MOD(ROW(),2)=0)</formula>
    </cfRule>
  </conditionalFormatting>
  <conditionalFormatting sqref="U117:AA117">
    <cfRule type="expression" dxfId="102" priority="3">
      <formula>AND(ISBLANK(U117)=FALSE,MOD(ROW(),2)=0)</formula>
    </cfRule>
  </conditionalFormatting>
  <conditionalFormatting sqref="U119:AA119">
    <cfRule type="expression" dxfId="101" priority="2">
      <formula>AND(ISBLANK(U119)=FALSE,MOD(ROW(),2)=0)</formula>
    </cfRule>
  </conditionalFormatting>
  <conditionalFormatting sqref="U121:AA121">
    <cfRule type="expression" dxfId="100" priority="1">
      <formula>AND(ISBLANK(U121)=FALSE,MOD(ROW(),2)=0)</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302</v>
      </c>
      <c r="E34" s="6" t="s">
        <v>302</v>
      </c>
    </row>
    <row r="35" spans="1:5" x14ac:dyDescent="0.2">
      <c r="A35" s="7" t="s">
        <v>78</v>
      </c>
      <c r="B35" s="7" t="s">
        <v>35</v>
      </c>
      <c r="D35" s="8" t="s">
        <v>303</v>
      </c>
      <c r="E35" s="8" t="s">
        <v>285</v>
      </c>
    </row>
    <row r="36" spans="1:5" x14ac:dyDescent="0.2">
      <c r="A36" s="7" t="s">
        <v>79</v>
      </c>
      <c r="B36" s="7" t="s">
        <v>36</v>
      </c>
      <c r="D36" s="8" t="s">
        <v>304</v>
      </c>
      <c r="E36" s="8" t="s">
        <v>286</v>
      </c>
    </row>
    <row r="37" spans="1:5" x14ac:dyDescent="0.2">
      <c r="A37" s="7" t="s">
        <v>80</v>
      </c>
      <c r="B37" s="7" t="s">
        <v>37</v>
      </c>
      <c r="D37" s="8" t="s">
        <v>305</v>
      </c>
      <c r="E37" s="8" t="s">
        <v>287</v>
      </c>
    </row>
    <row r="38" spans="1:5" x14ac:dyDescent="0.2">
      <c r="A38" s="7" t="s">
        <v>81</v>
      </c>
      <c r="B38" s="7" t="s">
        <v>38</v>
      </c>
      <c r="D38" s="8" t="s">
        <v>306</v>
      </c>
      <c r="E38" s="8" t="s">
        <v>288</v>
      </c>
    </row>
    <row r="39" spans="1:5" x14ac:dyDescent="0.2">
      <c r="A39" s="7" t="s">
        <v>82</v>
      </c>
      <c r="B39" s="7" t="s">
        <v>39</v>
      </c>
      <c r="D39" s="8" t="s">
        <v>307</v>
      </c>
      <c r="E39" s="8" t="s">
        <v>289</v>
      </c>
    </row>
    <row r="40" spans="1:5" x14ac:dyDescent="0.2">
      <c r="A40" s="7" t="s">
        <v>83</v>
      </c>
      <c r="B40" s="7" t="s">
        <v>40</v>
      </c>
      <c r="D40" s="8" t="s">
        <v>308</v>
      </c>
      <c r="E40" s="8" t="s">
        <v>290</v>
      </c>
    </row>
    <row r="41" spans="1:5" x14ac:dyDescent="0.2">
      <c r="A41" s="7" t="s">
        <v>84</v>
      </c>
      <c r="B41" s="7" t="s">
        <v>41</v>
      </c>
      <c r="D41" s="8" t="s">
        <v>309</v>
      </c>
      <c r="E41" s="8" t="s">
        <v>291</v>
      </c>
    </row>
    <row r="42" spans="1:5" x14ac:dyDescent="0.2">
      <c r="A42" s="7" t="s">
        <v>85</v>
      </c>
      <c r="B42" s="7" t="s">
        <v>42</v>
      </c>
      <c r="D42" s="8" t="s">
        <v>310</v>
      </c>
      <c r="E42" s="8" t="s">
        <v>292</v>
      </c>
    </row>
    <row r="43" spans="1:5" x14ac:dyDescent="0.2">
      <c r="D43" s="8" t="s">
        <v>311</v>
      </c>
      <c r="E43" s="8" t="s">
        <v>293</v>
      </c>
    </row>
    <row r="44" spans="1:5" x14ac:dyDescent="0.2">
      <c r="D44" s="8" t="s">
        <v>312</v>
      </c>
      <c r="E44" s="8" t="s">
        <v>294</v>
      </c>
    </row>
    <row r="45" spans="1:5" x14ac:dyDescent="0.2">
      <c r="D45" s="8" t="s">
        <v>313</v>
      </c>
      <c r="E45" s="8" t="s">
        <v>295</v>
      </c>
    </row>
    <row r="46" spans="1:5" x14ac:dyDescent="0.2">
      <c r="D46" s="8" t="s">
        <v>314</v>
      </c>
      <c r="E46" s="8" t="s">
        <v>296</v>
      </c>
    </row>
    <row r="47" spans="1:5" x14ac:dyDescent="0.2">
      <c r="D47" s="8" t="s">
        <v>315</v>
      </c>
      <c r="E47" s="8" t="s">
        <v>297</v>
      </c>
    </row>
    <row r="48" spans="1:5" x14ac:dyDescent="0.2">
      <c r="D48" s="8" t="s">
        <v>316</v>
      </c>
      <c r="E48" s="8" t="s">
        <v>298</v>
      </c>
    </row>
    <row r="49" spans="4:5" x14ac:dyDescent="0.2">
      <c r="D49" s="8" t="s">
        <v>317</v>
      </c>
      <c r="E49" s="8" t="s">
        <v>299</v>
      </c>
    </row>
    <row r="50" spans="4:5" x14ac:dyDescent="0.2">
      <c r="D50" s="8" t="s">
        <v>270</v>
      </c>
      <c r="E50" s="8" t="s">
        <v>300</v>
      </c>
    </row>
    <row r="51" spans="4:5" x14ac:dyDescent="0.2">
      <c r="D51" s="8" t="s">
        <v>318</v>
      </c>
      <c r="E51" s="8" t="s">
        <v>301</v>
      </c>
    </row>
  </sheetData>
  <dataConsolidate/>
  <phoneticPr fontId="1" type="noConversion"/>
  <conditionalFormatting sqref="B44:C1048576">
    <cfRule type="duplicateValues" dxfId="99" priority="16"/>
  </conditionalFormatting>
  <conditionalFormatting sqref="B1:C42">
    <cfRule type="duplicateValues" dxfId="98" priority="3"/>
  </conditionalFormatting>
  <conditionalFormatting sqref="B43:C43">
    <cfRule type="duplicateValues" dxfId="97"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28357-D4C1-4B05-A157-87F72383ED86}">
  <sheetPr codeName="Sheet3"/>
  <dimension ref="A1:AN124"/>
  <sheetViews>
    <sheetView workbookViewId="0">
      <pane xSplit="2" ySplit="2" topLeftCell="Z108" activePane="bottomRight" state="frozen"/>
      <selection pane="topRight" activeCell="C1" sqref="C1"/>
      <selection pane="bottomLeft" activeCell="A3" sqref="A3"/>
      <selection pane="bottomRight" activeCell="A117" sqref="A117"/>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352</v>
      </c>
      <c r="R1" s="6" t="s">
        <v>168</v>
      </c>
      <c r="S1" s="6" t="s">
        <v>185</v>
      </c>
      <c r="T1" s="6" t="s">
        <v>191</v>
      </c>
      <c r="U1" s="6" t="s">
        <v>186</v>
      </c>
      <c r="V1" s="6" t="s">
        <v>187</v>
      </c>
      <c r="W1" s="6" t="s">
        <v>188</v>
      </c>
      <c r="X1" s="6" t="s">
        <v>189</v>
      </c>
      <c r="Y1" s="6" t="s">
        <v>192</v>
      </c>
      <c r="Z1" s="6" t="s">
        <v>193</v>
      </c>
      <c r="AA1" s="6" t="s">
        <v>208</v>
      </c>
      <c r="AB1" s="6" t="s">
        <v>351</v>
      </c>
      <c r="AC1" s="6" t="s">
        <v>349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385</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350</v>
      </c>
      <c r="AC2" s="6" t="s">
        <v>348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354</v>
      </c>
      <c r="B51" s="9"/>
      <c r="C51" s="9" t="s">
        <v>203</v>
      </c>
      <c r="D51" s="4" t="str">
        <f t="shared" ref="D51" si="13">"abilities/items/"&amp;I51&amp;"/item_jian"</f>
        <v>abilities/items/weapon/item_jian</v>
      </c>
      <c r="E51" s="9"/>
      <c r="F51" s="9"/>
      <c r="G51" s="9"/>
      <c r="H51" s="9" t="s">
        <v>354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374</v>
      </c>
      <c r="AJ51" s="10" t="s">
        <v>376</v>
      </c>
      <c r="AK51" s="10" t="s">
        <v>347</v>
      </c>
      <c r="AL51" s="10" t="s">
        <v>346</v>
      </c>
      <c r="AM51" s="10" t="s">
        <v>375</v>
      </c>
      <c r="AN51" s="10" t="s">
        <v>345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355</v>
      </c>
      <c r="B53" s="9"/>
      <c r="C53" s="9" t="s">
        <v>203</v>
      </c>
      <c r="D53" s="4" t="str">
        <f t="shared" ref="D53" si="14">"abilities/items/"&amp;I53&amp;"/item_jian"</f>
        <v>abilities/items/weapon/item_jian</v>
      </c>
      <c r="E53" s="9"/>
      <c r="F53" s="9"/>
      <c r="G53" s="9"/>
      <c r="H53" s="9" t="s">
        <v>355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374</v>
      </c>
      <c r="AJ53" s="10" t="s">
        <v>376</v>
      </c>
      <c r="AK53" s="10" t="s">
        <v>347</v>
      </c>
      <c r="AL53" s="10" t="s">
        <v>346</v>
      </c>
      <c r="AM53" s="10" t="s">
        <v>375</v>
      </c>
      <c r="AN53" s="10" t="s">
        <v>345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356</v>
      </c>
      <c r="B55" s="9"/>
      <c r="C55" s="9" t="s">
        <v>203</v>
      </c>
      <c r="D55" s="4" t="str">
        <f t="shared" ref="D55" si="15">"abilities/items/"&amp;I55&amp;"/item_jian"</f>
        <v>abilities/items/weapon/item_jian</v>
      </c>
      <c r="E55" s="9"/>
      <c r="F55" s="9"/>
      <c r="G55" s="9"/>
      <c r="H55" s="9" t="s">
        <v>356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374</v>
      </c>
      <c r="AJ55" s="10" t="s">
        <v>376</v>
      </c>
      <c r="AK55" s="10" t="s">
        <v>347</v>
      </c>
      <c r="AL55" s="10" t="s">
        <v>346</v>
      </c>
      <c r="AM55" s="10" t="s">
        <v>375</v>
      </c>
      <c r="AN55" s="10" t="s">
        <v>345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357</v>
      </c>
      <c r="B57" s="9"/>
      <c r="C57" s="9" t="s">
        <v>203</v>
      </c>
      <c r="D57" s="4" t="str">
        <f t="shared" ref="D57" si="16">"abilities/items/"&amp;I57&amp;"/item_jian"</f>
        <v>abilities/items/weapon/item_jian</v>
      </c>
      <c r="E57" s="9"/>
      <c r="F57" s="9"/>
      <c r="G57" s="9"/>
      <c r="H57" s="9" t="s">
        <v>357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374</v>
      </c>
      <c r="AJ57" s="10" t="s">
        <v>376</v>
      </c>
      <c r="AK57" s="10" t="s">
        <v>347</v>
      </c>
      <c r="AL57" s="10" t="s">
        <v>346</v>
      </c>
      <c r="AM57" s="10" t="s">
        <v>375</v>
      </c>
      <c r="AN57" s="10" t="s">
        <v>345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353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353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353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353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353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358</v>
      </c>
      <c r="B69" s="9"/>
      <c r="C69" s="9" t="s">
        <v>203</v>
      </c>
      <c r="D69" s="4" t="str">
        <f>"abilities/items/"&amp;I69&amp;"/item_fazhang"</f>
        <v>abilities/items/weapon/item_fazhang</v>
      </c>
      <c r="E69" s="9"/>
      <c r="F69" s="9"/>
      <c r="G69" s="9"/>
      <c r="H69" s="9" t="s">
        <v>358</v>
      </c>
      <c r="I69" s="9" t="s">
        <v>338</v>
      </c>
      <c r="J69" s="9" t="s">
        <v>274</v>
      </c>
      <c r="K69" s="9" t="s">
        <v>275</v>
      </c>
      <c r="L69" s="9" t="s">
        <v>283</v>
      </c>
      <c r="M69" s="9" t="s">
        <v>276</v>
      </c>
      <c r="N69" s="9" t="s">
        <v>280</v>
      </c>
      <c r="O69" s="9" t="s">
        <v>277</v>
      </c>
      <c r="P69" s="9"/>
      <c r="Q69" s="9" t="s">
        <v>353</v>
      </c>
      <c r="R69" s="9"/>
      <c r="S69" s="9"/>
      <c r="T69" s="9"/>
      <c r="U69" s="9"/>
      <c r="V69" s="9"/>
      <c r="W69" s="9"/>
      <c r="X69" s="9"/>
      <c r="Y69" s="9"/>
      <c r="Z69" s="9"/>
      <c r="AA69" s="9"/>
      <c r="AB69" s="9"/>
      <c r="AC69" s="9">
        <v>30</v>
      </c>
      <c r="AD69" s="10" t="s">
        <v>339</v>
      </c>
      <c r="AE69" s="10" t="s">
        <v>340</v>
      </c>
      <c r="AF69" s="10" t="s">
        <v>342</v>
      </c>
      <c r="AG69" s="10" t="s">
        <v>322</v>
      </c>
      <c r="AH69" s="10" t="s">
        <v>321</v>
      </c>
      <c r="AI69" s="10" t="s">
        <v>374</v>
      </c>
      <c r="AJ69" s="10" t="s">
        <v>376</v>
      </c>
      <c r="AK69" s="10" t="s">
        <v>347</v>
      </c>
      <c r="AL69" s="10" t="s">
        <v>346</v>
      </c>
      <c r="AM69" s="10" t="s">
        <v>375</v>
      </c>
      <c r="AN69" s="10" t="s">
        <v>345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359</v>
      </c>
      <c r="B71" s="9"/>
      <c r="C71" s="9" t="s">
        <v>203</v>
      </c>
      <c r="D71" s="4" t="str">
        <f t="shared" ref="D71" si="21">"abilities/items/"&amp;I71&amp;"/item_fazhang"</f>
        <v>abilities/items/weapon/item_fazhang</v>
      </c>
      <c r="E71" s="9"/>
      <c r="F71" s="9"/>
      <c r="G71" s="9"/>
      <c r="H71" s="9" t="s">
        <v>359</v>
      </c>
      <c r="I71" s="9" t="s">
        <v>338</v>
      </c>
      <c r="J71" s="9" t="s">
        <v>274</v>
      </c>
      <c r="K71" s="9" t="s">
        <v>275</v>
      </c>
      <c r="L71" s="9" t="s">
        <v>283</v>
      </c>
      <c r="M71" s="9" t="s">
        <v>276</v>
      </c>
      <c r="N71" s="9" t="s">
        <v>280</v>
      </c>
      <c r="O71" s="9" t="s">
        <v>277</v>
      </c>
      <c r="P71" s="9"/>
      <c r="Q71" s="9" t="s">
        <v>353</v>
      </c>
      <c r="R71" s="9"/>
      <c r="S71" s="9"/>
      <c r="T71" s="9"/>
      <c r="U71" s="9"/>
      <c r="V71" s="9"/>
      <c r="W71" s="9"/>
      <c r="X71" s="9"/>
      <c r="Y71" s="9"/>
      <c r="Z71" s="9"/>
      <c r="AA71" s="9"/>
      <c r="AB71" s="9"/>
      <c r="AC71" s="9">
        <v>30</v>
      </c>
      <c r="AD71" s="10" t="s">
        <v>339</v>
      </c>
      <c r="AE71" s="10" t="s">
        <v>340</v>
      </c>
      <c r="AF71" s="10" t="s">
        <v>342</v>
      </c>
      <c r="AG71" s="10" t="s">
        <v>322</v>
      </c>
      <c r="AH71" s="10" t="s">
        <v>321</v>
      </c>
      <c r="AI71" s="10" t="s">
        <v>374</v>
      </c>
      <c r="AJ71" s="10" t="s">
        <v>376</v>
      </c>
      <c r="AK71" s="10" t="s">
        <v>347</v>
      </c>
      <c r="AL71" s="10" t="s">
        <v>346</v>
      </c>
      <c r="AM71" s="10" t="s">
        <v>375</v>
      </c>
      <c r="AN71" s="10" t="s">
        <v>345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360</v>
      </c>
      <c r="B73" s="9"/>
      <c r="C73" s="9" t="s">
        <v>203</v>
      </c>
      <c r="D73" s="4" t="str">
        <f t="shared" ref="D73" si="22">"abilities/items/"&amp;I73&amp;"/item_fazhang"</f>
        <v>abilities/items/weapon/item_fazhang</v>
      </c>
      <c r="E73" s="9"/>
      <c r="F73" s="9"/>
      <c r="G73" s="9"/>
      <c r="H73" s="9" t="s">
        <v>360</v>
      </c>
      <c r="I73" s="9" t="s">
        <v>338</v>
      </c>
      <c r="J73" s="9" t="s">
        <v>274</v>
      </c>
      <c r="K73" s="9" t="s">
        <v>275</v>
      </c>
      <c r="L73" s="9" t="s">
        <v>283</v>
      </c>
      <c r="M73" s="9" t="s">
        <v>276</v>
      </c>
      <c r="N73" s="9" t="s">
        <v>280</v>
      </c>
      <c r="O73" s="9" t="s">
        <v>277</v>
      </c>
      <c r="P73" s="9"/>
      <c r="Q73" s="9" t="s">
        <v>353</v>
      </c>
      <c r="R73" s="9"/>
      <c r="S73" s="9"/>
      <c r="T73" s="9"/>
      <c r="U73" s="9"/>
      <c r="V73" s="9"/>
      <c r="W73" s="9"/>
      <c r="X73" s="9"/>
      <c r="Y73" s="9"/>
      <c r="Z73" s="9"/>
      <c r="AA73" s="9"/>
      <c r="AB73" s="9"/>
      <c r="AC73" s="9">
        <v>30</v>
      </c>
      <c r="AD73" s="10" t="s">
        <v>339</v>
      </c>
      <c r="AE73" s="10" t="s">
        <v>340</v>
      </c>
      <c r="AF73" s="10" t="s">
        <v>342</v>
      </c>
      <c r="AG73" s="10" t="s">
        <v>322</v>
      </c>
      <c r="AH73" s="10" t="s">
        <v>321</v>
      </c>
      <c r="AI73" s="10" t="s">
        <v>374</v>
      </c>
      <c r="AJ73" s="10" t="s">
        <v>376</v>
      </c>
      <c r="AK73" s="10" t="s">
        <v>347</v>
      </c>
      <c r="AL73" s="10" t="s">
        <v>346</v>
      </c>
      <c r="AM73" s="10" t="s">
        <v>375</v>
      </c>
      <c r="AN73" s="10" t="s">
        <v>345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361</v>
      </c>
      <c r="B75" s="9"/>
      <c r="C75" s="9" t="s">
        <v>203</v>
      </c>
      <c r="D75" s="4" t="str">
        <f t="shared" ref="D75" si="23">"abilities/items/"&amp;I75&amp;"/item_fazhang"</f>
        <v>abilities/items/weapon/item_fazhang</v>
      </c>
      <c r="E75" s="9"/>
      <c r="F75" s="9"/>
      <c r="G75" s="9"/>
      <c r="H75" s="9" t="s">
        <v>361</v>
      </c>
      <c r="I75" s="9" t="s">
        <v>338</v>
      </c>
      <c r="J75" s="9" t="s">
        <v>274</v>
      </c>
      <c r="K75" s="9" t="s">
        <v>275</v>
      </c>
      <c r="L75" s="9" t="s">
        <v>283</v>
      </c>
      <c r="M75" s="9" t="s">
        <v>276</v>
      </c>
      <c r="N75" s="9" t="s">
        <v>280</v>
      </c>
      <c r="O75" s="9" t="s">
        <v>277</v>
      </c>
      <c r="P75" s="9"/>
      <c r="Q75" s="9" t="s">
        <v>353</v>
      </c>
      <c r="R75" s="9"/>
      <c r="S75" s="9"/>
      <c r="T75" s="9"/>
      <c r="U75" s="9"/>
      <c r="V75" s="9"/>
      <c r="W75" s="9"/>
      <c r="X75" s="9"/>
      <c r="Y75" s="9"/>
      <c r="Z75" s="9"/>
      <c r="AA75" s="9"/>
      <c r="AB75" s="9"/>
      <c r="AC75" s="9">
        <v>30</v>
      </c>
      <c r="AD75" s="10" t="s">
        <v>339</v>
      </c>
      <c r="AE75" s="10" t="s">
        <v>340</v>
      </c>
      <c r="AF75" s="10" t="s">
        <v>342</v>
      </c>
      <c r="AG75" s="10" t="s">
        <v>322</v>
      </c>
      <c r="AH75" s="10" t="s">
        <v>321</v>
      </c>
      <c r="AI75" s="10" t="s">
        <v>374</v>
      </c>
      <c r="AJ75" s="10" t="s">
        <v>376</v>
      </c>
      <c r="AK75" s="10" t="s">
        <v>347</v>
      </c>
      <c r="AL75" s="10" t="s">
        <v>346</v>
      </c>
      <c r="AM75" s="10" t="s">
        <v>375</v>
      </c>
      <c r="AN75" s="10" t="s">
        <v>345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353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353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353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353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353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362</v>
      </c>
      <c r="B87" s="9"/>
      <c r="C87" s="9" t="s">
        <v>203</v>
      </c>
      <c r="D87" s="4" t="str">
        <f>"abilities/items/"&amp;I87&amp;"/item_gong"</f>
        <v>abilities/items/weapon/item_gong</v>
      </c>
      <c r="E87" s="9"/>
      <c r="F87" s="9"/>
      <c r="G87" s="9"/>
      <c r="H87" s="9" t="s">
        <v>362</v>
      </c>
      <c r="I87" s="9" t="s">
        <v>338</v>
      </c>
      <c r="J87" s="9" t="s">
        <v>274</v>
      </c>
      <c r="K87" s="9" t="s">
        <v>275</v>
      </c>
      <c r="L87" s="9" t="s">
        <v>283</v>
      </c>
      <c r="M87" s="9" t="s">
        <v>0</v>
      </c>
      <c r="N87" s="9" t="s">
        <v>280</v>
      </c>
      <c r="O87" s="9" t="s">
        <v>277</v>
      </c>
      <c r="P87" s="9"/>
      <c r="Q87" s="9" t="s">
        <v>353</v>
      </c>
      <c r="R87" s="9"/>
      <c r="S87" s="9"/>
      <c r="T87" s="9"/>
      <c r="U87" s="9"/>
      <c r="V87" s="9"/>
      <c r="W87" s="9"/>
      <c r="X87" s="9"/>
      <c r="Y87" s="9"/>
      <c r="Z87" s="9"/>
      <c r="AA87" s="9"/>
      <c r="AB87" s="9"/>
      <c r="AC87" s="9"/>
      <c r="AD87" s="10" t="s">
        <v>339</v>
      </c>
      <c r="AE87" s="10" t="s">
        <v>340</v>
      </c>
      <c r="AF87" s="10" t="s">
        <v>341</v>
      </c>
      <c r="AG87" s="10" t="s">
        <v>320</v>
      </c>
      <c r="AH87" s="10" t="s">
        <v>323</v>
      </c>
      <c r="AI87" s="10" t="s">
        <v>374</v>
      </c>
      <c r="AJ87" s="10" t="s">
        <v>376</v>
      </c>
      <c r="AK87" s="10" t="s">
        <v>347</v>
      </c>
      <c r="AL87" s="10" t="s">
        <v>346</v>
      </c>
      <c r="AM87" s="10" t="s">
        <v>375</v>
      </c>
      <c r="AN87" s="10" t="s">
        <v>345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363</v>
      </c>
      <c r="B89" s="9"/>
      <c r="C89" s="9" t="s">
        <v>203</v>
      </c>
      <c r="D89" s="4" t="str">
        <f t="shared" ref="D89" si="28">"abilities/items/"&amp;I89&amp;"/item_gong"</f>
        <v>abilities/items/weapon/item_gong</v>
      </c>
      <c r="E89" s="9"/>
      <c r="F89" s="9"/>
      <c r="G89" s="9"/>
      <c r="H89" s="9" t="s">
        <v>363</v>
      </c>
      <c r="I89" s="9" t="s">
        <v>338</v>
      </c>
      <c r="J89" s="9" t="s">
        <v>274</v>
      </c>
      <c r="K89" s="9" t="s">
        <v>275</v>
      </c>
      <c r="L89" s="9" t="s">
        <v>283</v>
      </c>
      <c r="M89" s="9" t="s">
        <v>0</v>
      </c>
      <c r="N89" s="9" t="s">
        <v>280</v>
      </c>
      <c r="O89" s="9" t="s">
        <v>277</v>
      </c>
      <c r="P89" s="9"/>
      <c r="Q89" s="9" t="s">
        <v>353</v>
      </c>
      <c r="R89" s="9"/>
      <c r="S89" s="9"/>
      <c r="T89" s="9"/>
      <c r="U89" s="9"/>
      <c r="V89" s="9"/>
      <c r="W89" s="9"/>
      <c r="X89" s="9"/>
      <c r="Y89" s="9"/>
      <c r="Z89" s="9"/>
      <c r="AA89" s="9"/>
      <c r="AB89" s="9"/>
      <c r="AC89" s="9"/>
      <c r="AD89" s="10" t="s">
        <v>339</v>
      </c>
      <c r="AE89" s="10" t="s">
        <v>340</v>
      </c>
      <c r="AF89" s="10" t="s">
        <v>341</v>
      </c>
      <c r="AG89" s="10" t="s">
        <v>320</v>
      </c>
      <c r="AH89" s="10" t="s">
        <v>323</v>
      </c>
      <c r="AI89" s="10" t="s">
        <v>374</v>
      </c>
      <c r="AJ89" s="10" t="s">
        <v>376</v>
      </c>
      <c r="AK89" s="10" t="s">
        <v>347</v>
      </c>
      <c r="AL89" s="10" t="s">
        <v>346</v>
      </c>
      <c r="AM89" s="10" t="s">
        <v>375</v>
      </c>
      <c r="AN89" s="10" t="s">
        <v>345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364</v>
      </c>
      <c r="B91" s="9"/>
      <c r="C91" s="9" t="s">
        <v>203</v>
      </c>
      <c r="D91" s="4" t="str">
        <f t="shared" ref="D91" si="29">"abilities/items/"&amp;I91&amp;"/item_gong"</f>
        <v>abilities/items/weapon/item_gong</v>
      </c>
      <c r="E91" s="9"/>
      <c r="F91" s="9"/>
      <c r="G91" s="9"/>
      <c r="H91" s="9" t="s">
        <v>364</v>
      </c>
      <c r="I91" s="9" t="s">
        <v>338</v>
      </c>
      <c r="J91" s="9" t="s">
        <v>274</v>
      </c>
      <c r="K91" s="9" t="s">
        <v>275</v>
      </c>
      <c r="L91" s="9" t="s">
        <v>283</v>
      </c>
      <c r="M91" s="9" t="s">
        <v>0</v>
      </c>
      <c r="N91" s="9" t="s">
        <v>280</v>
      </c>
      <c r="O91" s="9" t="s">
        <v>277</v>
      </c>
      <c r="P91" s="9"/>
      <c r="Q91" s="9" t="s">
        <v>353</v>
      </c>
      <c r="R91" s="9"/>
      <c r="S91" s="9"/>
      <c r="T91" s="9"/>
      <c r="U91" s="9"/>
      <c r="V91" s="9"/>
      <c r="W91" s="9"/>
      <c r="X91" s="9"/>
      <c r="Y91" s="9"/>
      <c r="Z91" s="9"/>
      <c r="AA91" s="9"/>
      <c r="AB91" s="9"/>
      <c r="AC91" s="9"/>
      <c r="AD91" s="10" t="s">
        <v>339</v>
      </c>
      <c r="AE91" s="10" t="s">
        <v>340</v>
      </c>
      <c r="AF91" s="10" t="s">
        <v>341</v>
      </c>
      <c r="AG91" s="10" t="s">
        <v>320</v>
      </c>
      <c r="AH91" s="10" t="s">
        <v>323</v>
      </c>
      <c r="AI91" s="10" t="s">
        <v>374</v>
      </c>
      <c r="AJ91" s="10" t="s">
        <v>376</v>
      </c>
      <c r="AK91" s="10" t="s">
        <v>347</v>
      </c>
      <c r="AL91" s="10" t="s">
        <v>346</v>
      </c>
      <c r="AM91" s="10" t="s">
        <v>375</v>
      </c>
      <c r="AN91" s="10" t="s">
        <v>345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365</v>
      </c>
      <c r="B93" s="9"/>
      <c r="C93" s="9" t="s">
        <v>203</v>
      </c>
      <c r="D93" s="4" t="str">
        <f t="shared" ref="D93" si="30">"abilities/items/"&amp;I93&amp;"/item_gong"</f>
        <v>abilities/items/weapon/item_gong</v>
      </c>
      <c r="E93" s="9"/>
      <c r="F93" s="9"/>
      <c r="G93" s="9"/>
      <c r="H93" s="9" t="s">
        <v>365</v>
      </c>
      <c r="I93" s="9" t="s">
        <v>338</v>
      </c>
      <c r="J93" s="9" t="s">
        <v>274</v>
      </c>
      <c r="K93" s="9" t="s">
        <v>275</v>
      </c>
      <c r="L93" s="9" t="s">
        <v>283</v>
      </c>
      <c r="M93" s="9" t="s">
        <v>0</v>
      </c>
      <c r="N93" s="9" t="s">
        <v>280</v>
      </c>
      <c r="O93" s="9" t="s">
        <v>277</v>
      </c>
      <c r="P93" s="9"/>
      <c r="Q93" s="9" t="s">
        <v>353</v>
      </c>
      <c r="R93" s="9"/>
      <c r="S93" s="9"/>
      <c r="T93" s="9"/>
      <c r="U93" s="9"/>
      <c r="V93" s="9"/>
      <c r="W93" s="9"/>
      <c r="X93" s="9"/>
      <c r="Y93" s="9"/>
      <c r="Z93" s="9"/>
      <c r="AA93" s="9"/>
      <c r="AB93" s="9"/>
      <c r="AC93" s="9"/>
      <c r="AD93" s="10" t="s">
        <v>339</v>
      </c>
      <c r="AE93" s="10" t="s">
        <v>340</v>
      </c>
      <c r="AF93" s="10" t="s">
        <v>341</v>
      </c>
      <c r="AG93" s="10" t="s">
        <v>320</v>
      </c>
      <c r="AH93" s="10" t="s">
        <v>323</v>
      </c>
      <c r="AI93" s="10" t="s">
        <v>374</v>
      </c>
      <c r="AJ93" s="10" t="s">
        <v>376</v>
      </c>
      <c r="AK93" s="10" t="s">
        <v>347</v>
      </c>
      <c r="AL93" s="10" t="s">
        <v>346</v>
      </c>
      <c r="AM93" s="10" t="s">
        <v>375</v>
      </c>
      <c r="AN93" s="10" t="s">
        <v>345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343</v>
      </c>
      <c r="B95" s="9"/>
      <c r="C95" s="9" t="s">
        <v>203</v>
      </c>
      <c r="D95" s="4" t="str">
        <f>"abilities/items/"&amp;I95&amp;"/item_jia"</f>
        <v>abilities/items/weapon/item_jia</v>
      </c>
      <c r="E95" s="9"/>
      <c r="F95" s="9"/>
      <c r="G95" s="9"/>
      <c r="H95" s="9" t="s">
        <v>343</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374</v>
      </c>
      <c r="AE95" s="10" t="s">
        <v>347</v>
      </c>
      <c r="AF95" s="10" t="s">
        <v>345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366</v>
      </c>
      <c r="B97" s="9"/>
      <c r="C97" s="9" t="s">
        <v>203</v>
      </c>
      <c r="D97" s="4" t="str">
        <f t="shared" ref="D97" si="31">"abilities/items/"&amp;I97&amp;"/item_jia"</f>
        <v>abilities/items/weapon/item_jia</v>
      </c>
      <c r="E97" s="9"/>
      <c r="F97" s="9"/>
      <c r="G97" s="9"/>
      <c r="H97" s="9" t="s">
        <v>366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374</v>
      </c>
      <c r="AE97" s="10" t="s">
        <v>347</v>
      </c>
      <c r="AF97" s="10" t="s">
        <v>345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367</v>
      </c>
      <c r="B99" s="9"/>
      <c r="C99" s="9" t="s">
        <v>203</v>
      </c>
      <c r="D99" s="4" t="str">
        <f t="shared" ref="D99" si="32">"abilities/items/"&amp;I99&amp;"/item_jia"</f>
        <v>abilities/items/weapon/item_jia</v>
      </c>
      <c r="E99" s="9"/>
      <c r="F99" s="9"/>
      <c r="G99" s="9"/>
      <c r="H99" s="9" t="s">
        <v>367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374</v>
      </c>
      <c r="AE99" s="10" t="s">
        <v>347</v>
      </c>
      <c r="AF99" s="10" t="s">
        <v>345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368</v>
      </c>
      <c r="C101" s="9" t="s">
        <v>203</v>
      </c>
      <c r="D101" s="4" t="str">
        <f t="shared" ref="D101" si="33">"abilities/items/"&amp;I101&amp;"/item_jia"</f>
        <v>abilities/items/weapon/item_jia</v>
      </c>
      <c r="H101" s="9" t="s">
        <v>368</v>
      </c>
      <c r="I101" s="9" t="s">
        <v>338</v>
      </c>
      <c r="J101" s="9" t="s">
        <v>274</v>
      </c>
      <c r="K101" s="9" t="s">
        <v>275</v>
      </c>
      <c r="L101" s="9" t="s">
        <v>283</v>
      </c>
      <c r="M101" s="9" t="s">
        <v>0</v>
      </c>
      <c r="AD101" s="10" t="s">
        <v>374</v>
      </c>
      <c r="AE101" s="10" t="s">
        <v>347</v>
      </c>
      <c r="AF101" s="10" t="s">
        <v>345</v>
      </c>
    </row>
    <row r="102" spans="1:40" x14ac:dyDescent="0.2">
      <c r="A102" s="9"/>
      <c r="C102" s="9"/>
      <c r="D102" s="9"/>
      <c r="H102" s="9"/>
      <c r="I102" s="9"/>
      <c r="J102" s="9"/>
      <c r="K102" s="9"/>
      <c r="L102" s="9"/>
      <c r="M102" s="9"/>
      <c r="AD102" s="10">
        <v>1600</v>
      </c>
      <c r="AE102" s="10">
        <v>20</v>
      </c>
      <c r="AF102" s="10">
        <v>12</v>
      </c>
    </row>
    <row r="103" spans="1:40" x14ac:dyDescent="0.2">
      <c r="A103" s="9" t="s">
        <v>369</v>
      </c>
      <c r="C103" s="9" t="s">
        <v>203</v>
      </c>
      <c r="D103" s="4" t="str">
        <f t="shared" ref="D103" si="34">"abilities/items/"&amp;I103&amp;"/item_jia"</f>
        <v>abilities/items/weapon/item_jia</v>
      </c>
      <c r="H103" s="9" t="s">
        <v>369</v>
      </c>
      <c r="I103" s="9" t="s">
        <v>338</v>
      </c>
      <c r="J103" s="9" t="s">
        <v>274</v>
      </c>
      <c r="K103" s="9" t="s">
        <v>275</v>
      </c>
      <c r="L103" s="9" t="s">
        <v>283</v>
      </c>
      <c r="M103" s="9" t="s">
        <v>0</v>
      </c>
      <c r="AD103" s="10" t="s">
        <v>374</v>
      </c>
      <c r="AE103" s="10" t="s">
        <v>347</v>
      </c>
      <c r="AF103" s="10" t="s">
        <v>345</v>
      </c>
    </row>
    <row r="104" spans="1:40" x14ac:dyDescent="0.2">
      <c r="C104" s="9"/>
      <c r="D104" s="9"/>
      <c r="I104" s="9"/>
      <c r="K104" s="9"/>
      <c r="AD104" s="1">
        <v>3200</v>
      </c>
      <c r="AE104" s="1">
        <v>30</v>
      </c>
      <c r="AF104" s="10">
        <v>15</v>
      </c>
    </row>
    <row r="105" spans="1:40" x14ac:dyDescent="0.2">
      <c r="A105" s="3" t="s">
        <v>344</v>
      </c>
      <c r="C105" s="9" t="s">
        <v>203</v>
      </c>
      <c r="D105" s="4" t="str">
        <f>"abilities/items/"&amp;I105&amp;"/item_xie"</f>
        <v>abilities/items/weapon/item_xie</v>
      </c>
      <c r="H105" s="3" t="s">
        <v>344</v>
      </c>
      <c r="I105" s="9" t="s">
        <v>338</v>
      </c>
      <c r="J105" s="9" t="s">
        <v>274</v>
      </c>
      <c r="K105" s="9" t="s">
        <v>275</v>
      </c>
      <c r="L105" s="9" t="s">
        <v>283</v>
      </c>
      <c r="M105" s="9" t="s">
        <v>0</v>
      </c>
      <c r="T105" s="3">
        <v>1000</v>
      </c>
      <c r="AD105" s="1" t="s">
        <v>375</v>
      </c>
      <c r="AE105" s="1" t="s">
        <v>346</v>
      </c>
      <c r="AF105" s="1" t="s">
        <v>376</v>
      </c>
    </row>
    <row r="106" spans="1:40" x14ac:dyDescent="0.2">
      <c r="C106" s="9"/>
      <c r="D106" s="9"/>
      <c r="I106" s="9"/>
      <c r="K106" s="9"/>
      <c r="AD106" s="1">
        <v>20</v>
      </c>
      <c r="AE106" s="1">
        <v>5</v>
      </c>
      <c r="AF106" s="1">
        <v>100</v>
      </c>
    </row>
    <row r="107" spans="1:40" x14ac:dyDescent="0.2">
      <c r="A107" s="3" t="s">
        <v>370</v>
      </c>
      <c r="C107" s="9" t="s">
        <v>203</v>
      </c>
      <c r="D107" s="4" t="str">
        <f t="shared" ref="D107" si="35">"abilities/items/"&amp;I107&amp;"/item_xie"</f>
        <v>abilities/items/weapon/item_xie</v>
      </c>
      <c r="H107" s="3" t="s">
        <v>370</v>
      </c>
      <c r="I107" s="9" t="s">
        <v>338</v>
      </c>
      <c r="J107" s="9" t="s">
        <v>274</v>
      </c>
      <c r="K107" s="9" t="s">
        <v>275</v>
      </c>
      <c r="L107" s="9" t="s">
        <v>283</v>
      </c>
      <c r="M107" s="9" t="s">
        <v>0</v>
      </c>
      <c r="AD107" s="1" t="s">
        <v>375</v>
      </c>
      <c r="AE107" s="1" t="s">
        <v>346</v>
      </c>
      <c r="AF107" s="1" t="s">
        <v>376</v>
      </c>
    </row>
    <row r="108" spans="1:40" x14ac:dyDescent="0.2">
      <c r="C108" s="9"/>
      <c r="D108" s="9"/>
      <c r="I108" s="9"/>
      <c r="K108" s="9"/>
      <c r="AD108" s="1">
        <v>40</v>
      </c>
      <c r="AE108" s="1">
        <v>10</v>
      </c>
      <c r="AF108" s="1">
        <v>200</v>
      </c>
    </row>
    <row r="109" spans="1:40" x14ac:dyDescent="0.2">
      <c r="A109" s="3" t="s">
        <v>371</v>
      </c>
      <c r="C109" s="9" t="s">
        <v>203</v>
      </c>
      <c r="D109" s="4" t="str">
        <f t="shared" ref="D109" si="36">"abilities/items/"&amp;I109&amp;"/item_xie"</f>
        <v>abilities/items/weapon/item_xie</v>
      </c>
      <c r="H109" s="3" t="s">
        <v>371</v>
      </c>
      <c r="I109" s="9" t="s">
        <v>338</v>
      </c>
      <c r="J109" s="9" t="s">
        <v>274</v>
      </c>
      <c r="K109" s="9" t="s">
        <v>275</v>
      </c>
      <c r="L109" s="9" t="s">
        <v>283</v>
      </c>
      <c r="M109" s="9" t="s">
        <v>0</v>
      </c>
      <c r="AD109" s="1" t="s">
        <v>375</v>
      </c>
      <c r="AE109" s="1" t="s">
        <v>346</v>
      </c>
      <c r="AF109" s="1" t="s">
        <v>376</v>
      </c>
    </row>
    <row r="110" spans="1:40" x14ac:dyDescent="0.2">
      <c r="C110" s="9"/>
      <c r="D110" s="9"/>
      <c r="I110" s="9"/>
      <c r="K110" s="9"/>
      <c r="AD110" s="1">
        <v>60</v>
      </c>
      <c r="AE110" s="1">
        <v>15</v>
      </c>
      <c r="AF110" s="1">
        <v>400</v>
      </c>
    </row>
    <row r="111" spans="1:40" x14ac:dyDescent="0.2">
      <c r="A111" s="3" t="s">
        <v>372</v>
      </c>
      <c r="C111" s="9" t="s">
        <v>203</v>
      </c>
      <c r="D111" s="4" t="str">
        <f t="shared" ref="D111" si="37">"abilities/items/"&amp;I111&amp;"/item_xie"</f>
        <v>abilities/items/weapon/item_xie</v>
      </c>
      <c r="H111" s="3" t="s">
        <v>372</v>
      </c>
      <c r="I111" s="9" t="s">
        <v>338</v>
      </c>
      <c r="J111" s="9" t="s">
        <v>274</v>
      </c>
      <c r="K111" s="9" t="s">
        <v>275</v>
      </c>
      <c r="L111" s="9" t="s">
        <v>283</v>
      </c>
      <c r="M111" s="9" t="s">
        <v>0</v>
      </c>
      <c r="AD111" s="1" t="s">
        <v>375</v>
      </c>
      <c r="AE111" s="1" t="s">
        <v>346</v>
      </c>
      <c r="AF111" s="1" t="s">
        <v>376</v>
      </c>
    </row>
    <row r="112" spans="1:40" x14ac:dyDescent="0.2">
      <c r="C112" s="9"/>
      <c r="D112" s="9"/>
      <c r="I112" s="9"/>
      <c r="K112" s="9"/>
      <c r="AD112" s="1">
        <v>80</v>
      </c>
      <c r="AE112" s="1">
        <v>20</v>
      </c>
      <c r="AF112" s="1">
        <v>800</v>
      </c>
    </row>
    <row r="113" spans="1:32" x14ac:dyDescent="0.2">
      <c r="A113" s="3" t="s">
        <v>373</v>
      </c>
      <c r="C113" s="9" t="s">
        <v>203</v>
      </c>
      <c r="D113" s="4" t="str">
        <f t="shared" ref="D113" si="38">"abilities/items/"&amp;I113&amp;"/item_xie"</f>
        <v>abilities/items/weapon/item_xie</v>
      </c>
      <c r="H113" s="3" t="s">
        <v>373</v>
      </c>
      <c r="I113" s="9" t="s">
        <v>338</v>
      </c>
      <c r="J113" s="9" t="s">
        <v>274</v>
      </c>
      <c r="K113" s="9" t="s">
        <v>275</v>
      </c>
      <c r="L113" s="9" t="s">
        <v>283</v>
      </c>
      <c r="M113" s="9" t="s">
        <v>0</v>
      </c>
      <c r="AD113" s="1" t="s">
        <v>375</v>
      </c>
      <c r="AE113" s="1" t="s">
        <v>346</v>
      </c>
      <c r="AF113" s="1" t="s">
        <v>376</v>
      </c>
    </row>
    <row r="114" spans="1:32" x14ac:dyDescent="0.2">
      <c r="C114" s="9"/>
      <c r="D114" s="9"/>
      <c r="I114" s="9"/>
      <c r="AD114" s="1">
        <v>100</v>
      </c>
      <c r="AE114" s="1">
        <v>25</v>
      </c>
      <c r="AF114" s="1">
        <v>1600</v>
      </c>
    </row>
    <row r="115" spans="1:32" x14ac:dyDescent="0.2">
      <c r="A115" s="3" t="s">
        <v>377</v>
      </c>
      <c r="C115" s="9" t="s">
        <v>203</v>
      </c>
      <c r="D115" s="4" t="str">
        <f>"abilities/items/"&amp;I115&amp;"/"&amp;A115</f>
        <v>abilities/items/consumable/item_enchant_critical</v>
      </c>
      <c r="H115" s="3" t="s">
        <v>379</v>
      </c>
      <c r="I115" s="3" t="s">
        <v>224</v>
      </c>
      <c r="J115" s="9" t="s">
        <v>274</v>
      </c>
      <c r="K115" s="9" t="s">
        <v>275</v>
      </c>
      <c r="L115" s="9" t="s">
        <v>283</v>
      </c>
      <c r="M115" s="9" t="s">
        <v>219</v>
      </c>
      <c r="T115" s="3">
        <v>4000</v>
      </c>
      <c r="U115" s="3">
        <v>1</v>
      </c>
      <c r="V115" s="3">
        <v>1</v>
      </c>
      <c r="W115" s="3">
        <v>0</v>
      </c>
      <c r="X115" s="3">
        <v>1</v>
      </c>
      <c r="Z115" s="3">
        <v>1</v>
      </c>
      <c r="AA115" s="3">
        <v>100</v>
      </c>
      <c r="AD115" s="1" t="s">
        <v>284</v>
      </c>
      <c r="AE115" s="1" t="s">
        <v>382</v>
      </c>
    </row>
    <row r="116" spans="1:32" x14ac:dyDescent="0.2">
      <c r="C116" s="9"/>
      <c r="D116" s="9"/>
      <c r="M116" s="9"/>
      <c r="AD116" s="1">
        <v>25</v>
      </c>
      <c r="AE116" s="1">
        <v>40</v>
      </c>
    </row>
    <row r="117" spans="1:32" x14ac:dyDescent="0.2">
      <c r="A117" s="3" t="s">
        <v>380</v>
      </c>
      <c r="C117" s="9" t="s">
        <v>203</v>
      </c>
      <c r="D117" s="4" t="str">
        <f t="shared" ref="D117" si="39">"abilities/items/"&amp;I117&amp;"/"&amp;A117</f>
        <v>abilities/items/consumable/item_enchant_reduce_armor</v>
      </c>
      <c r="H117" s="3" t="s">
        <v>379</v>
      </c>
      <c r="I117" s="3" t="s">
        <v>224</v>
      </c>
      <c r="J117" s="9" t="s">
        <v>274</v>
      </c>
      <c r="K117" s="9" t="s">
        <v>275</v>
      </c>
      <c r="L117" s="9" t="s">
        <v>283</v>
      </c>
      <c r="M117" s="9" t="s">
        <v>219</v>
      </c>
      <c r="T117" s="3">
        <v>4000</v>
      </c>
      <c r="U117" s="3">
        <v>1</v>
      </c>
      <c r="V117" s="3">
        <v>1</v>
      </c>
      <c r="W117" s="3">
        <v>0</v>
      </c>
      <c r="X117" s="3">
        <v>1</v>
      </c>
      <c r="Z117" s="3">
        <v>1</v>
      </c>
      <c r="AA117" s="3">
        <v>100</v>
      </c>
      <c r="AD117" s="1" t="s">
        <v>384</v>
      </c>
    </row>
    <row r="118" spans="1:32" x14ac:dyDescent="0.2">
      <c r="C118" s="9"/>
      <c r="D118" s="9"/>
      <c r="M118" s="9"/>
      <c r="AD118" s="1">
        <v>6</v>
      </c>
    </row>
    <row r="119" spans="1:32" x14ac:dyDescent="0.2">
      <c r="A119" s="3" t="s">
        <v>381</v>
      </c>
      <c r="C119" s="9" t="s">
        <v>203</v>
      </c>
      <c r="D119" s="4" t="str">
        <f t="shared" ref="D119" si="40">"abilities/items/"&amp;I119&amp;"/"&amp;A119</f>
        <v>abilities/items/consumable/item_enchant_reduce_resistance</v>
      </c>
      <c r="H119" s="3" t="s">
        <v>379</v>
      </c>
      <c r="I119" s="3" t="s">
        <v>224</v>
      </c>
      <c r="J119" s="9" t="s">
        <v>274</v>
      </c>
      <c r="K119" s="9" t="s">
        <v>275</v>
      </c>
      <c r="L119" s="9" t="s">
        <v>283</v>
      </c>
      <c r="M119" s="9" t="s">
        <v>219</v>
      </c>
      <c r="T119" s="3">
        <v>4000</v>
      </c>
      <c r="U119" s="3">
        <v>1</v>
      </c>
      <c r="V119" s="3">
        <v>1</v>
      </c>
      <c r="W119" s="3">
        <v>0</v>
      </c>
      <c r="X119" s="3">
        <v>1</v>
      </c>
      <c r="Z119" s="3">
        <v>1</v>
      </c>
      <c r="AA119" s="3">
        <v>100</v>
      </c>
      <c r="AD119" s="1" t="s">
        <v>384</v>
      </c>
    </row>
    <row r="120" spans="1:32" x14ac:dyDescent="0.2">
      <c r="C120" s="9"/>
      <c r="D120" s="9"/>
      <c r="M120" s="9"/>
      <c r="AD120" s="1">
        <v>2.5</v>
      </c>
    </row>
    <row r="121" spans="1:32" x14ac:dyDescent="0.2">
      <c r="A121" s="3" t="s">
        <v>378</v>
      </c>
      <c r="C121" s="9" t="s">
        <v>203</v>
      </c>
      <c r="D121" s="4" t="str">
        <f t="shared" ref="D121" si="41">"abilities/items/"&amp;I121&amp;"/"&amp;A121</f>
        <v>abilities/items/consumable/item_enchant_lifesteal</v>
      </c>
      <c r="H121" s="3" t="s">
        <v>379</v>
      </c>
      <c r="I121" s="3" t="s">
        <v>224</v>
      </c>
      <c r="J121" s="9" t="s">
        <v>274</v>
      </c>
      <c r="K121" s="9" t="s">
        <v>275</v>
      </c>
      <c r="L121" s="9" t="s">
        <v>283</v>
      </c>
      <c r="M121" s="9" t="s">
        <v>219</v>
      </c>
      <c r="T121" s="3">
        <v>4000</v>
      </c>
      <c r="U121" s="3">
        <v>1</v>
      </c>
      <c r="V121" s="3">
        <v>1</v>
      </c>
      <c r="W121" s="3">
        <v>0</v>
      </c>
      <c r="X121" s="3">
        <v>1</v>
      </c>
      <c r="Z121" s="3">
        <v>1</v>
      </c>
      <c r="AA121" s="3">
        <v>100</v>
      </c>
      <c r="AD121" s="1" t="s">
        <v>383</v>
      </c>
    </row>
    <row r="122" spans="1:32" x14ac:dyDescent="0.2">
      <c r="C122" s="9"/>
      <c r="D122" s="9"/>
      <c r="M122" s="9"/>
      <c r="AD122" s="1">
        <v>4</v>
      </c>
    </row>
    <row r="123" spans="1:32" x14ac:dyDescent="0.2">
      <c r="C123" s="9"/>
      <c r="D123" s="4"/>
      <c r="J123" s="9"/>
      <c r="K123" s="9"/>
      <c r="L123" s="9"/>
      <c r="M123" s="9"/>
    </row>
    <row r="124" spans="1:32" x14ac:dyDescent="0.2">
      <c r="C124" s="9"/>
      <c r="D124" s="9"/>
    </row>
  </sheetData>
  <phoneticPr fontId="1" type="noConversion"/>
  <conditionalFormatting sqref="A3:AC4 I11:L11 I13:L13 I15:L15 I17:L17 I19:L19 I21:L21 I23:J23 I25:J25 I27:J27 I5:L9 D5:E22">
    <cfRule type="expression" dxfId="96" priority="94">
      <formula>AND(ISBLANK(A3)=FALSE,MOD(ROW(),2)=0)</formula>
    </cfRule>
  </conditionalFormatting>
  <conditionalFormatting sqref="A3:AK52 A53:AH58 A94:AH94 A59:AK60 AD63:AK68 AD69:AH76 A76:AC76 R63:AC75 R61:AK62 A61:Q75 R87:AH93 R77:AK86 A77:Q93 AO3:XFD1000 A95:AK1000">
    <cfRule type="expression" dxfId="95" priority="95">
      <formula>MOD(ROW(A4),2)=0</formula>
    </cfRule>
    <cfRule type="expression" dxfId="94" priority="96">
      <formula>MOD(ROW(A4),4)&lt;2</formula>
    </cfRule>
    <cfRule type="expression" dxfId="93" priority="97">
      <formula>MOD(ROW(A6),4)&lt;2</formula>
    </cfRule>
  </conditionalFormatting>
  <conditionalFormatting sqref="B11:B12">
    <cfRule type="expression" dxfId="92" priority="93">
      <formula>AND(ISBLANK(B11)=FALSE,MOD(ROW(),2)=0)</formula>
    </cfRule>
  </conditionalFormatting>
  <conditionalFormatting sqref="T11:AC12">
    <cfRule type="expression" dxfId="91" priority="92">
      <formula>AND(ISBLANK(T11)=FALSE,MOD(ROW(),2)=0)</formula>
    </cfRule>
  </conditionalFormatting>
  <conditionalFormatting sqref="B19">
    <cfRule type="expression" dxfId="90" priority="91">
      <formula>AND(ISBLANK(B19)=FALSE,MOD(ROW(),2)=0)</formula>
    </cfRule>
  </conditionalFormatting>
  <conditionalFormatting sqref="B21">
    <cfRule type="expression" dxfId="89" priority="90">
      <formula>AND(ISBLANK(B21)=FALSE,MOD(ROW(),2)=0)</formula>
    </cfRule>
  </conditionalFormatting>
  <conditionalFormatting sqref="J37 J35">
    <cfRule type="expression" dxfId="88" priority="89">
      <formula>AND(ISBLANK(J35)=FALSE,MOD(ROW(),2)=0)</formula>
    </cfRule>
  </conditionalFormatting>
  <conditionalFormatting sqref="J29 J31">
    <cfRule type="expression" dxfId="87" priority="88">
      <formula>AND(ISBLANK(J29)=FALSE,MOD(ROW(),2)=0)</formula>
    </cfRule>
  </conditionalFormatting>
  <conditionalFormatting sqref="J33">
    <cfRule type="expression" dxfId="86" priority="87">
      <formula>AND(ISBLANK(J33)=FALSE,MOD(ROW(),2)=0)</formula>
    </cfRule>
  </conditionalFormatting>
  <conditionalFormatting sqref="J39">
    <cfRule type="expression" dxfId="85" priority="86">
      <formula>AND(ISBLANK(J39)=FALSE,MOD(ROW(),2)=0)</formula>
    </cfRule>
  </conditionalFormatting>
  <conditionalFormatting sqref="I37 I35">
    <cfRule type="expression" dxfId="84" priority="85">
      <formula>AND(ISBLANK(I35)=FALSE,MOD(ROW(),2)=0)</formula>
    </cfRule>
  </conditionalFormatting>
  <conditionalFormatting sqref="I29 I31">
    <cfRule type="expression" dxfId="83" priority="84">
      <formula>AND(ISBLANK(I29)=FALSE,MOD(ROW(),2)=0)</formula>
    </cfRule>
  </conditionalFormatting>
  <conditionalFormatting sqref="I33">
    <cfRule type="expression" dxfId="82" priority="83">
      <formula>AND(ISBLANK(I33)=FALSE,MOD(ROW(),2)=0)</formula>
    </cfRule>
  </conditionalFormatting>
  <conditionalFormatting sqref="I39">
    <cfRule type="expression" dxfId="81" priority="82">
      <formula>AND(ISBLANK(I39)=FALSE,MOD(ROW(),2)=0)</formula>
    </cfRule>
  </conditionalFormatting>
  <conditionalFormatting sqref="D41 D43 D45 D47 D49 D59 D61 D63 D65 D67 D51 D53 D55 D57 D77 D79 D81 D83 D85 D69 D71 D73 D75 D87 D89 D91 D93 D95 D97 D99 D101 D103 D105 D107 D109 D111 D113 D115 D123 D117 D119 D121">
    <cfRule type="expression" dxfId="80" priority="81">
      <formula>AND(ISBLANK(D41)=FALSE,MOD(ROW(),2)=0)</formula>
    </cfRule>
  </conditionalFormatting>
  <conditionalFormatting sqref="AL3:AL52 AL59:AL68 AL77:AL86 AL95:AL1000">
    <cfRule type="expression" dxfId="79" priority="78">
      <formula>MOD(ROW(AL4),2)=0</formula>
    </cfRule>
    <cfRule type="expression" dxfId="78" priority="79">
      <formula>MOD(ROW(AL4),4)&lt;2</formula>
    </cfRule>
    <cfRule type="expression" dxfId="77" priority="80">
      <formula>MOD(ROW(AL6),4)&lt;2</formula>
    </cfRule>
  </conditionalFormatting>
  <conditionalFormatting sqref="AM3:AM52 AM59:AM68 AM77:AM86 AM95:AM1000">
    <cfRule type="expression" dxfId="76" priority="75">
      <formula>MOD(ROW(AM4),2)=0</formula>
    </cfRule>
    <cfRule type="expression" dxfId="75" priority="76">
      <formula>MOD(ROW(AM4),4)&lt;2</formula>
    </cfRule>
    <cfRule type="expression" dxfId="74" priority="77">
      <formula>MOD(ROW(AM6),4)&lt;2</formula>
    </cfRule>
  </conditionalFormatting>
  <conditionalFormatting sqref="AN3:AN50 AN59:AN68 AN77:AN86 AN95:AN1000">
    <cfRule type="expression" dxfId="73" priority="72">
      <formula>MOD(ROW(AN4),2)=0</formula>
    </cfRule>
    <cfRule type="expression" dxfId="72" priority="73">
      <formula>MOD(ROW(AN4),4)&lt;2</formula>
    </cfRule>
    <cfRule type="expression" dxfId="71" priority="74">
      <formula>MOD(ROW(AN6),4)&lt;2</formula>
    </cfRule>
  </conditionalFormatting>
  <conditionalFormatting sqref="AN51:AN52">
    <cfRule type="expression" dxfId="70" priority="69">
      <formula>MOD(ROW(AN52),2)=0</formula>
    </cfRule>
    <cfRule type="expression" dxfId="69" priority="70">
      <formula>MOD(ROW(AN52),4)&lt;2</formula>
    </cfRule>
    <cfRule type="expression" dxfId="68" priority="71">
      <formula>MOD(ROW(AN54),4)&lt;2</formula>
    </cfRule>
  </conditionalFormatting>
  <conditionalFormatting sqref="AI53:AK58">
    <cfRule type="expression" dxfId="67" priority="66">
      <formula>MOD(ROW(AI54),2)=0</formula>
    </cfRule>
    <cfRule type="expression" dxfId="66" priority="67">
      <formula>MOD(ROW(AI54),4)&lt;2</formula>
    </cfRule>
    <cfRule type="expression" dxfId="65" priority="68">
      <formula>MOD(ROW(AI56),4)&lt;2</formula>
    </cfRule>
  </conditionalFormatting>
  <conditionalFormatting sqref="AL53:AL58">
    <cfRule type="expression" dxfId="64" priority="63">
      <formula>MOD(ROW(AL54),2)=0</formula>
    </cfRule>
    <cfRule type="expression" dxfId="63" priority="64">
      <formula>MOD(ROW(AL54),4)&lt;2</formula>
    </cfRule>
    <cfRule type="expression" dxfId="62" priority="65">
      <formula>MOD(ROW(AL56),4)&lt;2</formula>
    </cfRule>
  </conditionalFormatting>
  <conditionalFormatting sqref="AM53:AM58">
    <cfRule type="expression" dxfId="61" priority="60">
      <formula>MOD(ROW(AM54),2)=0</formula>
    </cfRule>
    <cfRule type="expression" dxfId="60" priority="61">
      <formula>MOD(ROW(AM54),4)&lt;2</formula>
    </cfRule>
    <cfRule type="expression" dxfId="59" priority="62">
      <formula>MOD(ROW(AM56),4)&lt;2</formula>
    </cfRule>
  </conditionalFormatting>
  <conditionalFormatting sqref="AN53:AN58">
    <cfRule type="expression" dxfId="58" priority="57">
      <formula>MOD(ROW(AN54),2)=0</formula>
    </cfRule>
    <cfRule type="expression" dxfId="57" priority="58">
      <formula>MOD(ROW(AN54),4)&lt;2</formula>
    </cfRule>
    <cfRule type="expression" dxfId="56" priority="59">
      <formula>MOD(ROW(AN56),4)&lt;2</formula>
    </cfRule>
  </conditionalFormatting>
  <conditionalFormatting sqref="AN89:AN94">
    <cfRule type="expression" dxfId="55" priority="9">
      <formula>MOD(ROW(AN90),2)=0</formula>
    </cfRule>
    <cfRule type="expression" dxfId="54" priority="10">
      <formula>MOD(ROW(AN90),4)&lt;2</formula>
    </cfRule>
    <cfRule type="expression" dxfId="53" priority="11">
      <formula>MOD(ROW(AN92),4)&lt;2</formula>
    </cfRule>
  </conditionalFormatting>
  <conditionalFormatting sqref="AI69:AK70">
    <cfRule type="expression" dxfId="52" priority="54">
      <formula>MOD(ROW(AI70),2)=0</formula>
    </cfRule>
    <cfRule type="expression" dxfId="51" priority="55">
      <formula>MOD(ROW(AI70),4)&lt;2</formula>
    </cfRule>
    <cfRule type="expression" dxfId="50" priority="56">
      <formula>MOD(ROW(AI72),4)&lt;2</formula>
    </cfRule>
  </conditionalFormatting>
  <conditionalFormatting sqref="AL69:AL70">
    <cfRule type="expression" dxfId="49" priority="51">
      <formula>MOD(ROW(AL70),2)=0</formula>
    </cfRule>
    <cfRule type="expression" dxfId="48" priority="52">
      <formula>MOD(ROW(AL70),4)&lt;2</formula>
    </cfRule>
    <cfRule type="expression" dxfId="47" priority="53">
      <formula>MOD(ROW(AL72),4)&lt;2</formula>
    </cfRule>
  </conditionalFormatting>
  <conditionalFormatting sqref="AM69:AM70">
    <cfRule type="expression" dxfId="46" priority="48">
      <formula>MOD(ROW(AM70),2)=0</formula>
    </cfRule>
    <cfRule type="expression" dxfId="45" priority="49">
      <formula>MOD(ROW(AM70),4)&lt;2</formula>
    </cfRule>
    <cfRule type="expression" dxfId="44" priority="50">
      <formula>MOD(ROW(AM72),4)&lt;2</formula>
    </cfRule>
  </conditionalFormatting>
  <conditionalFormatting sqref="AN69:AN70">
    <cfRule type="expression" dxfId="43" priority="45">
      <formula>MOD(ROW(AN70),2)=0</formula>
    </cfRule>
    <cfRule type="expression" dxfId="42" priority="46">
      <formula>MOD(ROW(AN70),4)&lt;2</formula>
    </cfRule>
    <cfRule type="expression" dxfId="41" priority="47">
      <formula>MOD(ROW(AN72),4)&lt;2</formula>
    </cfRule>
  </conditionalFormatting>
  <conditionalFormatting sqref="AI71:AK76">
    <cfRule type="expression" dxfId="40" priority="42">
      <formula>MOD(ROW(AI72),2)=0</formula>
    </cfRule>
    <cfRule type="expression" dxfId="39" priority="43">
      <formula>MOD(ROW(AI72),4)&lt;2</formula>
    </cfRule>
    <cfRule type="expression" dxfId="38" priority="44">
      <formula>MOD(ROW(AI74),4)&lt;2</formula>
    </cfRule>
  </conditionalFormatting>
  <conditionalFormatting sqref="AL71:AL76">
    <cfRule type="expression" dxfId="37" priority="39">
      <formula>MOD(ROW(AL72),2)=0</formula>
    </cfRule>
    <cfRule type="expression" dxfId="36" priority="40">
      <formula>MOD(ROW(AL72),4)&lt;2</formula>
    </cfRule>
    <cfRule type="expression" dxfId="35" priority="41">
      <formula>MOD(ROW(AL74),4)&lt;2</formula>
    </cfRule>
  </conditionalFormatting>
  <conditionalFormatting sqref="AM71:AM76">
    <cfRule type="expression" dxfId="34" priority="36">
      <formula>MOD(ROW(AM72),2)=0</formula>
    </cfRule>
    <cfRule type="expression" dxfId="33" priority="37">
      <formula>MOD(ROW(AM72),4)&lt;2</formula>
    </cfRule>
    <cfRule type="expression" dxfId="32" priority="38">
      <formula>MOD(ROW(AM74),4)&lt;2</formula>
    </cfRule>
  </conditionalFormatting>
  <conditionalFormatting sqref="AN71:AN76">
    <cfRule type="expression" dxfId="31" priority="33">
      <formula>MOD(ROW(AN72),2)=0</formula>
    </cfRule>
    <cfRule type="expression" dxfId="30" priority="34">
      <formula>MOD(ROW(AN72),4)&lt;2</formula>
    </cfRule>
    <cfRule type="expression" dxfId="29" priority="35">
      <formula>MOD(ROW(AN74),4)&lt;2</formula>
    </cfRule>
  </conditionalFormatting>
  <conditionalFormatting sqref="AI87:AK88">
    <cfRule type="expression" dxfId="28" priority="30">
      <formula>MOD(ROW(AI88),2)=0</formula>
    </cfRule>
    <cfRule type="expression" dxfId="27" priority="31">
      <formula>MOD(ROW(AI88),4)&lt;2</formula>
    </cfRule>
    <cfRule type="expression" dxfId="26" priority="32">
      <formula>MOD(ROW(AI90),4)&lt;2</formula>
    </cfRule>
  </conditionalFormatting>
  <conditionalFormatting sqref="AL87:AL88">
    <cfRule type="expression" dxfId="25" priority="27">
      <formula>MOD(ROW(AL88),2)=0</formula>
    </cfRule>
    <cfRule type="expression" dxfId="24" priority="28">
      <formula>MOD(ROW(AL88),4)&lt;2</formula>
    </cfRule>
    <cfRule type="expression" dxfId="23" priority="29">
      <formula>MOD(ROW(AL90),4)&lt;2</formula>
    </cfRule>
  </conditionalFormatting>
  <conditionalFormatting sqref="AM87:AM88">
    <cfRule type="expression" dxfId="22" priority="24">
      <formula>MOD(ROW(AM88),2)=0</formula>
    </cfRule>
    <cfRule type="expression" dxfId="21" priority="25">
      <formula>MOD(ROW(AM88),4)&lt;2</formula>
    </cfRule>
    <cfRule type="expression" dxfId="20" priority="26">
      <formula>MOD(ROW(AM90),4)&lt;2</formula>
    </cfRule>
  </conditionalFormatting>
  <conditionalFormatting sqref="AN87:AN88">
    <cfRule type="expression" dxfId="19" priority="21">
      <formula>MOD(ROW(AN88),2)=0</formula>
    </cfRule>
    <cfRule type="expression" dxfId="18" priority="22">
      <formula>MOD(ROW(AN88),4)&lt;2</formula>
    </cfRule>
    <cfRule type="expression" dxfId="17" priority="23">
      <formula>MOD(ROW(AN90),4)&lt;2</formula>
    </cfRule>
  </conditionalFormatting>
  <conditionalFormatting sqref="AI89:AK94">
    <cfRule type="expression" dxfId="16" priority="18">
      <formula>MOD(ROW(AI90),2)=0</formula>
    </cfRule>
    <cfRule type="expression" dxfId="15" priority="19">
      <formula>MOD(ROW(AI90),4)&lt;2</formula>
    </cfRule>
    <cfRule type="expression" dxfId="14" priority="20">
      <formula>MOD(ROW(AI92),4)&lt;2</formula>
    </cfRule>
  </conditionalFormatting>
  <conditionalFormatting sqref="AL89:AL94">
    <cfRule type="expression" dxfId="13" priority="15">
      <formula>MOD(ROW(AL90),2)=0</formula>
    </cfRule>
    <cfRule type="expression" dxfId="12" priority="16">
      <formula>MOD(ROW(AL90),4)&lt;2</formula>
    </cfRule>
    <cfRule type="expression" dxfId="11" priority="17">
      <formula>MOD(ROW(AL92),4)&lt;2</formula>
    </cfRule>
  </conditionalFormatting>
  <conditionalFormatting sqref="AM89:AM94">
    <cfRule type="expression" dxfId="10" priority="12">
      <formula>MOD(ROW(AM90),2)=0</formula>
    </cfRule>
    <cfRule type="expression" dxfId="9" priority="13">
      <formula>MOD(ROW(AM90),4)&lt;2</formula>
    </cfRule>
    <cfRule type="expression" dxfId="8" priority="14">
      <formula>MOD(ROW(AM92),4)&lt;2</formula>
    </cfRule>
  </conditionalFormatting>
  <conditionalFormatting sqref="U115:AA115">
    <cfRule type="expression" dxfId="7" priority="8">
      <formula>AND(ISBLANK(U115)=FALSE,MOD(ROW(),2)=0)</formula>
    </cfRule>
  </conditionalFormatting>
  <conditionalFormatting sqref="U117:AA117">
    <cfRule type="expression" dxfId="6" priority="7">
      <formula>AND(ISBLANK(U117)=FALSE,MOD(ROW(),2)=0)</formula>
    </cfRule>
  </conditionalFormatting>
  <conditionalFormatting sqref="U119:AA119">
    <cfRule type="expression" dxfId="5" priority="6">
      <formula>AND(ISBLANK(U119)=FALSE,MOD(ROW(),2)=0)</formula>
    </cfRule>
  </conditionalFormatting>
  <conditionalFormatting sqref="U121:AA121">
    <cfRule type="expression" dxfId="4" priority="5">
      <formula>AND(ISBLANK(U121)=FALSE,MOD(ROW(),2)=0)</formula>
    </cfRule>
  </conditionalFormatting>
  <conditionalFormatting sqref="U123:AA123">
    <cfRule type="expression" dxfId="3" priority="4">
      <formula>AND(ISBLANK(U123)=FALSE,MOD(ROW(),2)=0)</formula>
    </cfRule>
  </conditionalFormatting>
  <conditionalFormatting sqref="U117:AA117">
    <cfRule type="expression" dxfId="2" priority="3">
      <formula>AND(ISBLANK(U117)=FALSE,MOD(ROW(),2)=0)</formula>
    </cfRule>
  </conditionalFormatting>
  <conditionalFormatting sqref="U119:AA119">
    <cfRule type="expression" dxfId="1" priority="2">
      <formula>AND(ISBLANK(U119)=FALSE,MOD(ROW(),2)=0)</formula>
    </cfRule>
  </conditionalFormatting>
  <conditionalFormatting sqref="U121:AA121">
    <cfRule type="expression" dxfId="0" priority="1">
      <formula>AND(ISBLANK(U121)=FALSE,MOD(ROW(),2)=0)</formula>
    </cfRule>
  </conditionalFormatting>
  <dataValidations count="1">
    <dataValidation type="list" allowBlank="1" showInputMessage="1" showErrorMessage="1" sqref="C1:C1048576" xr:uid="{B78D8CA4-E8C7-4803-A6CA-E40D5B404F9A}">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364E518C-7C50-4CBA-9BEE-43AF3FD74F6A}">
          <x14:formula1>
            <xm:f>Sheet2!$E$35:$E$51</xm:f>
          </x14:formula1>
          <xm:sqref>AD1:AN1048576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2021-06-19T08:02:32Z</dcterms:modified>
</cp:coreProperties>
</file>