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E77BA40E-E6DF-4234-8DCF-11B873DE8B04}" xr6:coauthVersionLast="45" xr6:coauthVersionMax="45" xr10:uidLastSave="{00000000-0000-0000-0000-000000000000}"/>
  <bookViews>
    <workbookView xWindow="14595" yWindow="4605" windowWidth="16740" windowHeight="1327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Sheet1!$A$1:$AC$4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1" i="1" l="1"/>
  <c r="D49" i="1" l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3" i="1" l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<sst xmlns="http://schemas.openxmlformats.org/spreadsheetml/2006/main" count="571" uniqueCount="404">
  <si>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</si>
  <si>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</si>
  <si>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</si>
  <si>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</si>
  <si>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</si>
  <si>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</si>
  <si>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</si>
  <si>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</si>
  <si>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</si>
  <si>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</si>
  <si>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</si>
  <si>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</si>
  <si>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</si>
  <si>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</si>
  <si>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</si>
  <si>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</si>
  <si>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</si>
  <si>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</si>
  <si>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</si>
  <si>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</si>
  <si>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</si>
  <si>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</si>
  <si>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</si>
  <si>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</si>
  <si>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</si>
  <si>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</si>
  <si>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</si>
  <si>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</si>
  <si>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</si>
  <si>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</si>
  <si>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</si>
  <si>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</si>
  <si>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</si>
  <si>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</si>
  <si>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</si>
  <si>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</si>
  <si>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</si>
  <si>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</si>
  <si>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</si>
  <si>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</si>
  <si>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</si>
  <si>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</si>
  <si>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</si>
  <si>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</si>
  <si>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</si>
  <si>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</si>
  <si>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</si>
  <si>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</si>
  <si>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</si>
  <si>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</si>
  <si>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</si>
  <si>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</si>
  <si>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</si>
  <si>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</si>
  <si>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</si>
  <si>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</si>
  <si>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</si>
  <si>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</si>
  <si>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</si>
  <si>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</si>
  <si>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</si>
  <si>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</si>
  <si>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</si>
  <si>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</si>
  <si>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</si>
  <si>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</si>
  <si>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</si>
  <si>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</si>
  <si>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</si>
  <si>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</si>
  <si>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</si>
  <si>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</si>
  <si>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</si>
  <si>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</si>
  <si>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</si>
  <si>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</si>
  <si>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</si>
  <si>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</si>
  <si>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</si>
  <si>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</si>
  <si>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</si>
  <si>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</si>
  <si>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</si>
  <si>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</si>
  <si>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</si>
  <si>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</si>
  <si>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</si>
  <si>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</si>
  <si>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</si>
  <si>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</si>
  <si>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</si>
  <si>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</si>
  <si>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</si>
  <si>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</si>
  <si>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</si>
  <si>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</si>
  <si>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</si>
  <si>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</si>
  <si>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</si>
  <si>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</si>
  <si>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</si>
  <si>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</si>
  <si>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</si>
  <si>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</si>
  <si>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</si>
  <si>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</si>
  <si>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</si>
  <si>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</si>
  <si>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</si>
  <si>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</si>
  <si>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</si>
  <si>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</si>
  <si>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</si>
  <si>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</si>
  <si>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</si>
  <si>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</si>
  <si>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</si>
  <si>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</si>
  <si>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</si>
  <si>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</si>
  <si>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</si>
  <si>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</si>
  <si>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</si>
  <si>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</si>
  <si>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</si>
  <si>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</si>
  <si>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</si>
  <si>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</si>
  <si>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</si>
  <si>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</si>
  <si>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</si>
  <si>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</si>
  <si>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</si>
  <si>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</si>
  <si>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</si>
  <si>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</si>
  <si>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</si>
  <si>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</si>
  <si>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</si>
  <si>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</si>
  <si>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</si>
  <si>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</si>
  <si>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</si>
  <si>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</si>
  <si>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</si>
  <si>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</si>
  <si>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</si>
  <si>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</si>
  <si>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</si>
  <si>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</si>
  <si>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</si>
  <si>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</si>
  <si>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</si>
  <si>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</si>
  <si>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</si>
  <si>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</si>
  <si>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</si>
  <si>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</si>
  <si>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</si>
  <si>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</si>
  <si>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</si>
  <si>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</si>
  <si>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</si>
  <si>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</si>
  <si>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</si>
  <si>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</si>
  <si>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</si>
  <si>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</si>
  <si>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</si>
  <si>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</si>
  <si>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</si>
  <si>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</si>
  <si>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</si>
  <si>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</si>
  <si>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</si>
  <si>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</si>
  <si>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</si>
  <si>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</si>
  <si>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</si>
  <si>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</si>
  <si>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</si>
  <si>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</si>
  <si>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</si>
  <si>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</si>
  <si>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</si>
  <si>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</si>
  <si>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</si>
  <si>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</si>
  <si>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</si>
  <si>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</si>
  <si>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</si>
  <si>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</si>
  <si>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</si>
  <si>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</si>
  <si>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</si>
  <si>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</si>
  <si>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</si>
  <si>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</si>
  <si>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</si>
  <si>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</si>
  <si>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</si>
  <si>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</si>
  <si>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</si>
  <si>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</si>
  <si>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</si>
  <si>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</si>
  <si>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</si>
  <si>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</si>
  <si>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</si>
  <si>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</si>
  <si>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</si>
  <si>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</si>
  <si>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</si>
  <si>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</si>
  <si>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</si>
  <si>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</si>
  <si>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</si>
  <si>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</si>
  <si>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</si>
  <si>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</si>
  <si>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</si>
  <si>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</si>
  <si>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</si>
  <si>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</si>
  <si>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</si>
  <si>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</si>
  <si>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</si>
  <si>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</si>
  <si>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</si>
  <si>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</si>
  <si>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</si>
  <si>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bonus_attack</t>
    <phoneticPr fontId="1" type="noConversion"/>
  </si>
  <si>
    <t>duration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</si>
  <si>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</si>
  <si>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</si>
  <si>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</si>
  <si>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</si>
  <si>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</si>
  <si>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</si>
  <si>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</si>
  <si>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</si>
  <si>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</si>
  <si>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</si>
  <si>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</si>
  <si>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</si>
  <si>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</si>
  <si>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</si>
  <si>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</si>
  <si>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</si>
  <si>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</si>
  <si>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</si>
  <si>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</si>
  <si>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</si>
  <si>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</si>
  <si>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</si>
  <si>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</si>
  <si>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</si>
  <si>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</si>
  <si>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</si>
  <si>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</si>
  <si>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</si>
  <si>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</si>
  <si>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</si>
  <si>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</si>
  <si>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</si>
  <si>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</si>
  <si>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</si>
  <si>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</si>
  <si>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</si>
  <si>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</si>
  <si>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</si>
  <si>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</si>
  <si>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</si>
  <si>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</si>
  <si>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</si>
  <si>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</si>
  <si>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</si>
  <si>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</si>
  <si>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</si>
  <si>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</si>
  <si>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</si>
  <si>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</si>
  <si>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</si>
  <si>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</si>
  <si>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</si>
  <si>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</si>
  <si>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</si>
  <si>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</si>
  <si>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</si>
  <si>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</si>
  <si>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</si>
  <si>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</si>
  <si>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</si>
  <si>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</si>
  <si>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</si>
  <si>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</si>
  <si>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</si>
  <si>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</si>
  <si>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</si>
  <si>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</si>
  <si>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</si>
  <si>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</si>
  <si>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</si>
  <si>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</si>
  <si>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</si>
  <si>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</si>
  <si>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</si>
  <si>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</si>
  <si>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</si>
  <si>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</si>
  <si>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</si>
  <si>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</si>
  <si>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</si>
  <si>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</si>
  <si>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</si>
  <si>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</si>
  <si>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</si>
  <si>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</si>
  <si>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</si>
  <si>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</si>
  <si>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</si>
  <si>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</si>
  <si>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</si>
  <si>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</si>
  <si>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</si>
  <si>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</si>
  <si>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</si>
  <si>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</si>
  <si>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</si>
  <si>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</si>
  <si>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</si>
  <si>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</si>
  <si>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</si>
  <si>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</si>
  <si>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</si>
  <si>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</si>
  <si>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</si>
  <si>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</si>
  <si>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</si>
  <si>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</si>
  <si>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</si>
  <si>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</si>
  <si>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</si>
  <si>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</si>
  <si>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</si>
  <si>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</si>
  <si>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</si>
  <si>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</si>
  <si>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</si>
  <si>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</si>
  <si>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</si>
  <si>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</si>
  <si>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</si>
  <si>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</si>
  <si>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</si>
  <si>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  <phoneticPr fontId="1" type="noConversion"/>
  </si>
  <si>
    <t>models/props_gameplay/tango.vmdl</t>
    <phoneticPr fontId="1" type="noConversion"/>
  </si>
  <si>
    <t>particles/generic_gameplay/dropped_tango.vpcf</t>
    <phoneticPr fontId="1" type="noConversion"/>
  </si>
  <si>
    <t>item_treant_3</t>
    <phoneticPr fontId="1" type="noConversion"/>
  </si>
  <si>
    <t>models/props_gameplay/branch.vmdl</t>
    <phoneticPr fontId="1" type="noConversion"/>
  </si>
  <si>
    <t>item_treant_4</t>
    <phoneticPr fontId="1" type="noConversion"/>
  </si>
  <si>
    <t>models/props_gameplay/mango.vmdl</t>
    <phoneticPr fontId="1" type="noConversion"/>
  </si>
  <si>
    <t>models/props_gameplay/cheese.vmdl</t>
    <phoneticPr fontId="1" type="noConversion"/>
  </si>
  <si>
    <t>bonus_mana_regen_pct</t>
    <phoneticPr fontId="1" type="noConversion"/>
  </si>
  <si>
    <t>bonus_health_regen_pct</t>
    <phoneticPr fontId="1" type="noConversion"/>
  </si>
  <si>
    <t>item_visage_1</t>
    <phoneticPr fontId="1" type="noConversion"/>
  </si>
  <si>
    <t>item_visage_2</t>
    <phoneticPr fontId="1" type="noConversion"/>
  </si>
  <si>
    <t>item_visage_3</t>
    <phoneticPr fontId="1" type="noConversion"/>
  </si>
  <si>
    <t>item_visage_4</t>
    <phoneticPr fontId="1" type="noConversion"/>
  </si>
  <si>
    <t>DOTA_ABILITY_BEHAVIOR_AOE</t>
    <phoneticPr fontId="1" type="noConversion"/>
  </si>
  <si>
    <t>DOTA_ABILITY_BEHAVIOR_POINT | DOTA_ABILITY_BEHAVIOR_AOE</t>
    <phoneticPr fontId="1" type="noConversion"/>
  </si>
  <si>
    <t>DOTA_ABILITY_BEHAVIOR_IMMEDIATE | DOTA_ABILITY_BEHAVIOR_POINT | DOTA_ABILITY_BEHAVIOR_AOE</t>
    <phoneticPr fontId="1" type="noConversion"/>
  </si>
  <si>
    <t>bonus_health_pct</t>
    <phoneticPr fontId="1" type="noConversion"/>
  </si>
  <si>
    <t>absorb_pct</t>
    <phoneticPr fontId="1" type="noConversion"/>
  </si>
  <si>
    <t>skill_damage_increase</t>
    <phoneticPr fontId="1" type="noConversion"/>
  </si>
  <si>
    <t>movespeed</t>
    <phoneticPr fontId="1" type="noConversion"/>
  </si>
  <si>
    <t>health_regen_pct</t>
    <phoneticPr fontId="1" type="noConversion"/>
  </si>
  <si>
    <t>AbilityDamage</t>
  </si>
  <si>
    <t>AbilityDuration</t>
  </si>
  <si>
    <t>AbilityUnitTargetType</t>
  </si>
  <si>
    <t>DOTA_UNIT_TARGET_HERO | DOTA_UNIT_TARGET_BASIC</t>
  </si>
  <si>
    <t>AbilityUnitTargetTeam</t>
  </si>
  <si>
    <t>DOTA_UNIT_TARGET_TEAM_ENEMY</t>
  </si>
  <si>
    <t>DOTA_UNIT_TARGET_TEAM_BOTH</t>
  </si>
  <si>
    <t>AbilityUnitDamageType</t>
  </si>
  <si>
    <t>ItemShareability</t>
  </si>
  <si>
    <t>ITEM_FULLY_SHAREABLE</t>
  </si>
  <si>
    <t>ItemRequiresCharges</t>
  </si>
  <si>
    <t>item_fire_egg</t>
    <phoneticPr fontId="1" type="noConversion"/>
  </si>
  <si>
    <t>小火蛋</t>
    <phoneticPr fontId="1" type="noConversion"/>
  </si>
  <si>
    <t>models/items/phoenix/ultimate/blazing_wing_blazing_egg/blazing_wing_blazing_egg.vmdl</t>
    <phoneticPr fontId="1" type="noConversion"/>
  </si>
  <si>
    <t>philosophers_stone</t>
    <phoneticPr fontId="1" type="noConversion"/>
  </si>
  <si>
    <t>charges</t>
    <phoneticPr fontId="1" type="noConversion"/>
  </si>
  <si>
    <t>max_attribute</t>
    <phoneticPr fontId="1" type="noConversion"/>
  </si>
  <si>
    <t>min_attribute</t>
    <phoneticPr fontId="1" type="noConversion"/>
  </si>
  <si>
    <t>item_ice_egg</t>
    <phoneticPr fontId="1" type="noConversion"/>
  </si>
  <si>
    <t>小冰蛋</t>
    <phoneticPr fontId="1" type="noConversion"/>
  </si>
  <si>
    <t>models/creeps/ice_boss/ice_boss_egg_dest.vmdl</t>
    <phoneticPr fontId="1" type="noConversion"/>
  </si>
  <si>
    <t>ex_machina</t>
    <phoneticPr fontId="1" type="noConversion"/>
  </si>
  <si>
    <t>item_gold_egg</t>
    <phoneticPr fontId="1" type="noConversion"/>
  </si>
  <si>
    <t>小金蛋</t>
    <phoneticPr fontId="1" type="noConversion"/>
  </si>
  <si>
    <t>10+X510</t>
    <phoneticPr fontId="1" type="noConversion"/>
  </si>
  <si>
    <t>max_gain</t>
    <phoneticPr fontId="1" type="noConversion"/>
  </si>
  <si>
    <t>min_gain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</si>
</sst>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52"/>
  <sheetViews>
    <sheetView tabSelected="1" workbookViewId="0">
      <pane xSplit="2" ySplit="2" topLeftCell="C27" activePane="bottomRight" state="frozen"/>
      <selection pane="topRight" activeCell="C1" sqref="C1"/>
      <selection pane="bottomLeft" activeCell="A3" sqref="A3"/>
      <selection pane="bottomRight" activeCell="D51" sqref="D51"/>
    </sheetView>
  </sheetViews>
  <sheetFormatPr defaultColWidth="9" defaultRowHeight="14.25" x14ac:dyDescent="0.2"/>
  <cols>
    <col min="1" max="1" width="21.25" style="3" bestFit="1" customWidth="1"/>
    <col min="2" max="2" width="12.75" style="3" customWidth="1"/>
    <col min="3" max="3" width="14.625" style="3" bestFit="1" customWidth="1"/>
    <col min="4" max="4" width="34.5" style="3" bestFit="1" customWidth="1"/>
    <col min="5" max="5" width="41.625" style="3" bestFit="1" customWidth="1"/>
    <col min="6" max="6" width="51.875" style="3" bestFit="1" customWidth="1"/>
    <col min="7" max="7" width="16.75" style="3" bestFit="1" customWidth="1"/>
    <col min="8" max="8" width="23" style="3" bestFit="1" customWidth="1"/>
    <col min="9" max="9" width="72.25" style="3" bestFit="1" customWidth="1"/>
    <col min="10" max="10" width="6.75" style="3" bestFit="1" customWidth="1"/>
    <col min="11" max="11" width="16.5" style="3" bestFit="1" customWidth="1"/>
    <col min="12" max="12" width="13" style="3" bestFit="1" customWidth="1"/>
    <col min="13" max="13" width="8.5" style="3" bestFit="1" customWidth="1"/>
    <col min="14" max="14" width="11.125" style="3" bestFit="1" customWidth="1"/>
    <col min="15" max="15" width="15.125" style="3" bestFit="1" customWidth="1"/>
    <col min="16" max="16" width="14.125" style="3" bestFit="1" customWidth="1"/>
    <col min="17" max="17" width="12.875" style="3" bestFit="1" customWidth="1"/>
    <col min="18" max="18" width="16.75" style="3" bestFit="1" customWidth="1"/>
    <col min="19" max="19" width="16.375" style="3" bestFit="1" customWidth="1"/>
    <col min="20" max="20" width="15.375" style="3" bestFit="1" customWidth="1"/>
    <col min="21" max="22" width="15.375" style="3" customWidth="1"/>
    <col min="23" max="23" width="20.375" style="1" bestFit="1" customWidth="1"/>
    <col min="24" max="24" width="28.75" style="1" bestFit="1" customWidth="1"/>
    <col min="25" max="25" width="16.125" style="1" bestFit="1" customWidth="1"/>
    <col min="26" max="26" width="25.875" style="1" bestFit="1" customWidth="1"/>
    <col min="27" max="28" width="12.125" style="1" bestFit="1" customWidth="1"/>
    <col min="29" max="29" width="15.875" style="1" bestFit="1" customWidth="1"/>
    <col min="30" max="32" width="12.125" style="1" bestFit="1" customWidth="1"/>
    <col min="33" max="33" width="51.125" style="3" bestFit="1" customWidth="1"/>
    <col min="34" max="34" width="32.375" style="3" bestFit="1" customWidth="1"/>
    <col min="35" max="35" width="23.25" style="3" bestFit="1" customWidth="1"/>
    <col min="36" max="36" width="14.25" style="3" bestFit="1" customWidth="1"/>
    <col min="37" max="38" width="14.875" style="3" bestFit="1" customWidth="1"/>
    <col min="39" max="39" width="22.25" style="3" bestFit="1" customWidth="1"/>
    <col min="40" max="40" width="19.375" style="3" bestFit="1" customWidth="1"/>
    <col min="41" max="41" width="13.875" style="3" bestFit="1" customWidth="1"/>
    <col min="42" max="43" width="10.625" style="3" bestFit="1" customWidth="1"/>
    <col min="44" max="44" width="31.125" style="3" bestFit="1" customWidth="1"/>
    <col min="45" max="45" width="13.5" style="3" bestFit="1" customWidth="1"/>
    <col min="46" max="46" width="8.875" style="3" bestFit="1" customWidth="1"/>
    <col min="47" max="47" width="10.625" style="3" bestFit="1" customWidth="1"/>
    <col min="48" max="16384" width="9" style="3"/>
  </cols>
  <sheetData>
    <row r="1" spans="1:45" s="6" customFormat="1" x14ac:dyDescent="0.2">
      <c r="A1" s="6" t="s">
        <v>162</v>
      </c>
      <c r="B1" s="6" t="s">
        <v>163</v>
      </c>
      <c r="C1" s="6" t="s">
        <v>164</v>
      </c>
      <c r="D1" s="6" t="s">
        <v>165</v>
      </c>
      <c r="E1" s="6" t="s">
        <v>201</v>
      </c>
      <c r="F1" s="6" t="s">
        <v>202</v>
      </c>
      <c r="G1" s="6" t="s">
        <v>203</v>
      </c>
      <c r="H1" s="6" t="s">
        <v>166</v>
      </c>
      <c r="I1" s="6" t="s">
        <v>4</v>
      </c>
      <c r="J1" s="6" t="s">
        <v>186</v>
      </c>
      <c r="K1" s="6" t="s">
        <v>167</v>
      </c>
      <c r="L1" s="6" t="s">
        <v>184</v>
      </c>
      <c r="M1" s="6" t="s">
        <v>192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193</v>
      </c>
      <c r="S1" s="6" t="s">
        <v>194</v>
      </c>
      <c r="T1" s="6" t="s">
        <v>200</v>
      </c>
      <c r="W1" s="6" t="s">
        <v>168</v>
      </c>
      <c r="X1" s="6" t="s">
        <v>168</v>
      </c>
      <c r="Y1" s="6" t="s">
        <v>168</v>
      </c>
      <c r="Z1" s="6" t="s">
        <v>168</v>
      </c>
      <c r="AA1" s="6" t="s">
        <v>168</v>
      </c>
      <c r="AB1" s="6" t="s">
        <v>168</v>
      </c>
      <c r="AC1" s="6" t="s">
        <v>168</v>
      </c>
      <c r="AD1" s="6" t="s">
        <v>168</v>
      </c>
      <c r="AE1" s="6" t="s">
        <v>168</v>
      </c>
      <c r="AF1" s="6" t="s">
        <v>168</v>
      </c>
      <c r="AJ1" s="6" t="s">
        <v>296</v>
      </c>
      <c r="AK1" s="6" t="s">
        <v>297</v>
      </c>
      <c r="AL1" s="6" t="s">
        <v>298</v>
      </c>
      <c r="AO1" s="6" t="s">
        <v>320</v>
      </c>
      <c r="AP1" s="6" t="s">
        <v>311</v>
      </c>
      <c r="AQ1" s="6" t="s">
        <v>319</v>
      </c>
      <c r="AR1" s="6" t="s">
        <v>324</v>
      </c>
      <c r="AS1" s="6" t="s">
        <v>334</v>
      </c>
    </row>
    <row r="2" spans="1:45" s="6" customFormat="1" x14ac:dyDescent="0.2">
      <c r="A2" s="6" t="s">
        <v>169</v>
      </c>
      <c r="C2" s="6" t="s">
        <v>170</v>
      </c>
      <c r="D2" s="6" t="s">
        <v>171</v>
      </c>
      <c r="E2" s="6" t="s">
        <v>195</v>
      </c>
      <c r="F2" s="6" t="s">
        <v>196</v>
      </c>
      <c r="G2" s="6" t="s">
        <v>205</v>
      </c>
      <c r="H2" s="6" t="s">
        <v>172</v>
      </c>
      <c r="I2" s="6" t="s">
        <v>1</v>
      </c>
      <c r="J2" s="6" t="s">
        <v>206</v>
      </c>
      <c r="K2" s="6" t="s">
        <v>207</v>
      </c>
      <c r="L2" s="6" t="s">
        <v>208</v>
      </c>
      <c r="M2" s="6" t="s">
        <v>209</v>
      </c>
      <c r="N2" s="6" t="s">
        <v>210</v>
      </c>
      <c r="O2" s="6" t="s">
        <v>211</v>
      </c>
      <c r="P2" s="6" t="s">
        <v>212</v>
      </c>
      <c r="Q2" s="6" t="s">
        <v>213</v>
      </c>
      <c r="R2" s="6" t="s">
        <v>197</v>
      </c>
      <c r="S2" s="6" t="s">
        <v>214</v>
      </c>
      <c r="T2" s="6" t="s">
        <v>215</v>
      </c>
      <c r="U2" s="6" t="s">
        <v>377</v>
      </c>
      <c r="V2" s="6" t="s">
        <v>378</v>
      </c>
      <c r="W2" s="6" t="s">
        <v>174</v>
      </c>
      <c r="X2" s="6" t="s">
        <v>174</v>
      </c>
      <c r="Y2" s="6" t="s">
        <v>174</v>
      </c>
      <c r="Z2" s="6" t="s">
        <v>174</v>
      </c>
      <c r="AA2" s="6" t="s">
        <v>174</v>
      </c>
      <c r="AB2" s="6" t="s">
        <v>174</v>
      </c>
      <c r="AC2" s="6" t="s">
        <v>174</v>
      </c>
      <c r="AD2" s="6" t="s">
        <v>174</v>
      </c>
      <c r="AE2" s="6" t="s">
        <v>174</v>
      </c>
      <c r="AF2" s="6" t="s">
        <v>174</v>
      </c>
      <c r="AG2" s="6" t="s">
        <v>379</v>
      </c>
      <c r="AH2" s="6" t="s">
        <v>381</v>
      </c>
      <c r="AI2" s="6" t="s">
        <v>384</v>
      </c>
      <c r="AJ2" s="6" t="s">
        <v>220</v>
      </c>
      <c r="AK2" s="6" t="s">
        <v>221</v>
      </c>
      <c r="AL2" s="6" t="s">
        <v>222</v>
      </c>
      <c r="AM2" s="6" t="s">
        <v>385</v>
      </c>
      <c r="AN2" s="6" t="s">
        <v>387</v>
      </c>
      <c r="AO2" s="6" t="s">
        <v>223</v>
      </c>
      <c r="AP2" s="6" t="s">
        <v>224</v>
      </c>
      <c r="AQ2" s="6" t="s">
        <v>225</v>
      </c>
      <c r="AR2" s="6" t="s">
        <v>227</v>
      </c>
      <c r="AS2" s="6" t="s">
        <v>228</v>
      </c>
    </row>
    <row r="3" spans="1:45" x14ac:dyDescent="0.2">
      <c r="A3" s="3" t="s">
        <v>219</v>
      </c>
      <c r="B3" s="3" t="s">
        <v>198</v>
      </c>
      <c r="C3" s="3" t="s">
        <v>216</v>
      </c>
      <c r="D3" s="4" t="str">
        <f>"abilities/items/drops/"&amp;A3</f>
        <v>abilities/items/drops/item_bag_of_coin</v>
      </c>
      <c r="E3" s="4" t="s">
        <v>217</v>
      </c>
      <c r="F3" s="4" t="s">
        <v>218</v>
      </c>
      <c r="G3" s="4" t="s">
        <v>199</v>
      </c>
      <c r="I3" s="3" t="s">
        <v>229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204</v>
      </c>
      <c r="Z3" s="5"/>
      <c r="AA3" s="5"/>
    </row>
    <row r="4" spans="1:45" x14ac:dyDescent="0.2">
      <c r="W4" s="1">
        <v>5000</v>
      </c>
      <c r="Z4" s="2"/>
      <c r="AA4" s="2"/>
    </row>
    <row r="5" spans="1:45" x14ac:dyDescent="0.2">
      <c r="A5" s="3" t="s">
        <v>230</v>
      </c>
      <c r="B5" s="3" t="s">
        <v>292</v>
      </c>
      <c r="C5" s="3" t="s">
        <v>216</v>
      </c>
      <c r="D5" s="4" t="str">
        <f t="shared" ref="D5" si="0">"abilities/items/drops/"&amp;A5</f>
        <v>abilities/items/drops/item_ogre_1</v>
      </c>
      <c r="E5" s="3" t="s">
        <v>252</v>
      </c>
      <c r="H5" s="3" t="s">
        <v>230</v>
      </c>
      <c r="I5" s="3" t="s">
        <v>370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231</v>
      </c>
      <c r="X5" s="1" t="s">
        <v>257</v>
      </c>
      <c r="AG5" s="3" t="s">
        <v>380</v>
      </c>
      <c r="AH5" s="3" t="s">
        <v>382</v>
      </c>
      <c r="AI5" s="3" t="s">
        <v>175</v>
      </c>
      <c r="AJ5" s="3">
        <v>0.6</v>
      </c>
      <c r="AK5" s="3">
        <v>16</v>
      </c>
      <c r="AL5" s="3">
        <v>200</v>
      </c>
      <c r="AM5" s="3" t="s">
        <v>386</v>
      </c>
    </row>
    <row r="6" spans="1:45" x14ac:dyDescent="0.2">
      <c r="W6" s="1">
        <v>300</v>
      </c>
      <c r="X6" s="1">
        <v>400</v>
      </c>
    </row>
    <row r="7" spans="1:45" x14ac:dyDescent="0.2">
      <c r="A7" s="3" t="s">
        <v>233</v>
      </c>
      <c r="B7" s="3" t="s">
        <v>293</v>
      </c>
      <c r="C7" s="3" t="s">
        <v>216</v>
      </c>
      <c r="D7" s="4" t="str">
        <f t="shared" ref="D7" si="1">"abilities/items/drops/"&amp;A7</f>
        <v>abilities/items/drops/item_ogre_2</v>
      </c>
      <c r="E7" s="3" t="s">
        <v>252</v>
      </c>
      <c r="H7" s="3" t="s">
        <v>233</v>
      </c>
      <c r="I7" s="3" t="s">
        <v>0</v>
      </c>
      <c r="J7" s="3">
        <v>1665</v>
      </c>
      <c r="N7" s="3">
        <v>1</v>
      </c>
      <c r="O7" s="3">
        <v>0</v>
      </c>
      <c r="W7" s="1" t="s">
        <v>234</v>
      </c>
      <c r="AM7" s="3" t="s">
        <v>386</v>
      </c>
    </row>
    <row r="8" spans="1:45" x14ac:dyDescent="0.2">
      <c r="W8" s="1">
        <v>4000</v>
      </c>
    </row>
    <row r="9" spans="1:45" x14ac:dyDescent="0.2">
      <c r="A9" s="3" t="s">
        <v>235</v>
      </c>
      <c r="B9" s="3" t="s">
        <v>294</v>
      </c>
      <c r="C9" s="3" t="s">
        <v>216</v>
      </c>
      <c r="D9" s="4" t="str">
        <f t="shared" ref="D9" si="2">"abilities/items/drops/"&amp;A9</f>
        <v>abilities/items/drops/item_ogre_3</v>
      </c>
      <c r="E9" s="3" t="s">
        <v>252</v>
      </c>
      <c r="H9" s="3" t="s">
        <v>235</v>
      </c>
      <c r="I9" s="3" t="s">
        <v>0</v>
      </c>
      <c r="J9" s="3">
        <v>1666</v>
      </c>
      <c r="N9" s="3">
        <v>1</v>
      </c>
      <c r="O9" s="3">
        <v>0</v>
      </c>
      <c r="W9" s="1" t="s">
        <v>236</v>
      </c>
      <c r="AM9" s="3" t="s">
        <v>386</v>
      </c>
    </row>
    <row r="10" spans="1:45" x14ac:dyDescent="0.2">
      <c r="W10" s="1">
        <v>40</v>
      </c>
    </row>
    <row r="11" spans="1:45" x14ac:dyDescent="0.2">
      <c r="A11" s="3" t="s">
        <v>237</v>
      </c>
      <c r="B11" s="3" t="s">
        <v>295</v>
      </c>
      <c r="C11" s="3" t="s">
        <v>216</v>
      </c>
      <c r="D11" s="4" t="str">
        <f t="shared" ref="D11" si="3">"abilities/items/drops/"&amp;A11</f>
        <v>abilities/items/drops/item_ogre_4</v>
      </c>
      <c r="E11" s="3" t="s">
        <v>252</v>
      </c>
      <c r="H11" s="3" t="s">
        <v>237</v>
      </c>
      <c r="I11" s="3" t="s">
        <v>370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236</v>
      </c>
      <c r="X11" s="1" t="s">
        <v>234</v>
      </c>
      <c r="Y11" s="1" t="s">
        <v>231</v>
      </c>
      <c r="AG11" s="3" t="s">
        <v>380</v>
      </c>
      <c r="AH11" s="3" t="s">
        <v>382</v>
      </c>
      <c r="AI11" s="3" t="s">
        <v>175</v>
      </c>
      <c r="AJ11" s="3">
        <v>0.3</v>
      </c>
      <c r="AK11" s="3">
        <v>16</v>
      </c>
      <c r="AL11" s="3">
        <v>200</v>
      </c>
      <c r="AM11" s="3" t="s">
        <v>386</v>
      </c>
    </row>
    <row r="12" spans="1:45" x14ac:dyDescent="0.2">
      <c r="W12" s="1">
        <v>60</v>
      </c>
      <c r="X12" s="1">
        <v>6000</v>
      </c>
      <c r="Y12" s="1">
        <v>400</v>
      </c>
    </row>
    <row r="13" spans="1:45" x14ac:dyDescent="0.2">
      <c r="A13" s="3" t="s">
        <v>354</v>
      </c>
      <c r="B13" s="3" t="s">
        <v>337</v>
      </c>
      <c r="C13" s="3" t="s">
        <v>216</v>
      </c>
      <c r="D13" s="4" t="str">
        <f t="shared" ref="D13" si="4">"abilities/items/drops/"&amp;A13</f>
        <v>abilities/items/drops/item_treant_1</v>
      </c>
      <c r="E13" s="3" t="s">
        <v>252</v>
      </c>
      <c r="H13" s="3" t="s">
        <v>238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W13" s="1" t="s">
        <v>239</v>
      </c>
      <c r="X13" s="1" t="s">
        <v>240</v>
      </c>
      <c r="Y13" s="1" t="s">
        <v>232</v>
      </c>
      <c r="AM13" s="3" t="s">
        <v>386</v>
      </c>
    </row>
    <row r="14" spans="1:45" x14ac:dyDescent="0.2">
      <c r="W14" s="1">
        <v>-40</v>
      </c>
      <c r="X14" s="1">
        <v>4</v>
      </c>
      <c r="Y14" s="1">
        <v>35</v>
      </c>
    </row>
    <row r="15" spans="1:45" x14ac:dyDescent="0.2">
      <c r="A15" s="3" t="s">
        <v>355</v>
      </c>
      <c r="B15" s="3" t="s">
        <v>338</v>
      </c>
      <c r="C15" s="3" t="s">
        <v>216</v>
      </c>
      <c r="D15" s="4" t="str">
        <f t="shared" ref="D15" si="5">"abilities/items/drops/"&amp;A15</f>
        <v>abilities/items/drops/item_treant_2</v>
      </c>
      <c r="E15" s="3" t="s">
        <v>356</v>
      </c>
      <c r="F15" s="3" t="s">
        <v>357</v>
      </c>
      <c r="H15" s="3" t="s">
        <v>241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T15" s="3">
        <v>200</v>
      </c>
      <c r="W15" s="1" t="s">
        <v>232</v>
      </c>
      <c r="AK15" s="3">
        <v>60</v>
      </c>
      <c r="AL15" s="3">
        <v>200</v>
      </c>
      <c r="AM15" s="3" t="s">
        <v>386</v>
      </c>
    </row>
    <row r="16" spans="1:45" x14ac:dyDescent="0.2">
      <c r="W16" s="1">
        <v>40</v>
      </c>
    </row>
    <row r="17" spans="1:42" x14ac:dyDescent="0.2">
      <c r="A17" s="3" t="s">
        <v>358</v>
      </c>
      <c r="B17" s="3" t="s">
        <v>339</v>
      </c>
      <c r="C17" s="3" t="s">
        <v>216</v>
      </c>
      <c r="D17" s="4" t="str">
        <f t="shared" ref="D17" si="6">"abilities/items/drops/"&amp;A17</f>
        <v>abilities/items/drops/item_treant_3</v>
      </c>
      <c r="E17" s="3" t="s">
        <v>359</v>
      </c>
      <c r="H17" s="3" t="s">
        <v>242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232</v>
      </c>
      <c r="AK17" s="3">
        <v>1</v>
      </c>
      <c r="AM17" s="3" t="s">
        <v>386</v>
      </c>
    </row>
    <row r="18" spans="1:42" x14ac:dyDescent="0.2">
      <c r="W18" s="1">
        <v>40</v>
      </c>
    </row>
    <row r="19" spans="1:42" x14ac:dyDescent="0.2">
      <c r="A19" s="3" t="s">
        <v>360</v>
      </c>
      <c r="B19" s="3" t="s">
        <v>340</v>
      </c>
      <c r="C19" s="3" t="s">
        <v>216</v>
      </c>
      <c r="D19" s="4" t="str">
        <f t="shared" ref="D19" si="7">"abilities/items/drops/"&amp;A19</f>
        <v>abilities/items/drops/item_treant_4</v>
      </c>
      <c r="E19" s="3" t="s">
        <v>252</v>
      </c>
      <c r="H19" s="3" t="s">
        <v>243</v>
      </c>
      <c r="I19" s="3" t="s">
        <v>244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245</v>
      </c>
      <c r="X19" s="1" t="s">
        <v>246</v>
      </c>
      <c r="Y19" s="1" t="s">
        <v>239</v>
      </c>
      <c r="Z19" s="1" t="s">
        <v>240</v>
      </c>
      <c r="AA19" s="1" t="s">
        <v>232</v>
      </c>
      <c r="AK19" s="3">
        <v>30</v>
      </c>
      <c r="AM19" s="3" t="s">
        <v>386</v>
      </c>
    </row>
    <row r="20" spans="1:42" x14ac:dyDescent="0.2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2" x14ac:dyDescent="0.2">
      <c r="A21" s="3" t="s">
        <v>365</v>
      </c>
      <c r="B21" s="3" t="s">
        <v>341</v>
      </c>
      <c r="C21" s="3" t="s">
        <v>216</v>
      </c>
      <c r="D21" s="4" t="str">
        <f t="shared" ref="D21" si="8">"abilities/items/drops/"&amp;A21</f>
        <v>abilities/items/drops/item_visage_1</v>
      </c>
      <c r="E21" s="3" t="s">
        <v>247</v>
      </c>
      <c r="F21" s="3" t="s">
        <v>248</v>
      </c>
      <c r="H21" s="3" t="s">
        <v>249</v>
      </c>
      <c r="I21" s="3" t="s">
        <v>185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364</v>
      </c>
      <c r="X21" s="1" t="s">
        <v>363</v>
      </c>
      <c r="AK21" s="3">
        <v>195</v>
      </c>
      <c r="AL21" s="3">
        <v>375</v>
      </c>
      <c r="AM21" s="3" t="s">
        <v>386</v>
      </c>
      <c r="AP21" s="3" t="s">
        <v>250</v>
      </c>
    </row>
    <row r="22" spans="1:42" x14ac:dyDescent="0.2">
      <c r="W22" s="1">
        <v>2</v>
      </c>
      <c r="X22" s="1">
        <v>2</v>
      </c>
    </row>
    <row r="23" spans="1:42" x14ac:dyDescent="0.2">
      <c r="A23" s="3" t="s">
        <v>366</v>
      </c>
      <c r="B23" s="3" t="s">
        <v>342</v>
      </c>
      <c r="C23" s="3" t="s">
        <v>216</v>
      </c>
      <c r="D23" s="4" t="str">
        <f t="shared" ref="D23" si="9">"abilities/items/drops/"&amp;A23</f>
        <v>abilities/items/drops/item_visage_2</v>
      </c>
      <c r="E23" s="3" t="s">
        <v>252</v>
      </c>
      <c r="F23" s="3" t="s">
        <v>218</v>
      </c>
      <c r="H23" s="3" t="s">
        <v>251</v>
      </c>
      <c r="I23" s="3" t="s">
        <v>371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V23" s="3">
        <v>12</v>
      </c>
      <c r="W23" s="1" t="s">
        <v>253</v>
      </c>
      <c r="X23" s="1" t="s">
        <v>254</v>
      </c>
      <c r="Y23" s="1" t="s">
        <v>255</v>
      </c>
      <c r="Z23" s="1" t="s">
        <v>256</v>
      </c>
      <c r="AA23" s="1" t="s">
        <v>257</v>
      </c>
      <c r="AG23" s="3" t="s">
        <v>380</v>
      </c>
      <c r="AH23" s="3" t="s">
        <v>382</v>
      </c>
      <c r="AK23" s="3">
        <v>19</v>
      </c>
      <c r="AM23" s="3" t="s">
        <v>386</v>
      </c>
      <c r="AP23" s="3" t="s">
        <v>250</v>
      </c>
    </row>
    <row r="24" spans="1:42" x14ac:dyDescent="0.2">
      <c r="W24" s="1">
        <v>15</v>
      </c>
      <c r="X24" s="1">
        <v>20</v>
      </c>
      <c r="Y24" s="1">
        <v>-25</v>
      </c>
      <c r="Z24" s="1">
        <v>15</v>
      </c>
      <c r="AA24" s="1">
        <v>600</v>
      </c>
    </row>
    <row r="25" spans="1:42" x14ac:dyDescent="0.2">
      <c r="A25" s="3" t="s">
        <v>367</v>
      </c>
      <c r="B25" s="3" t="s">
        <v>343</v>
      </c>
      <c r="C25" s="3" t="s">
        <v>216</v>
      </c>
      <c r="D25" s="4" t="str">
        <f t="shared" ref="D25" si="10">"abilities/items/drops/"&amp;A25</f>
        <v>abilities/items/drops/item_visage_3</v>
      </c>
      <c r="E25" s="3" t="s">
        <v>252</v>
      </c>
      <c r="H25" s="3" t="s">
        <v>258</v>
      </c>
      <c r="I25" s="3" t="s">
        <v>0</v>
      </c>
      <c r="J25" s="3">
        <v>1703</v>
      </c>
      <c r="N25" s="3">
        <v>1</v>
      </c>
      <c r="O25" s="3">
        <v>0</v>
      </c>
      <c r="W25" s="1" t="s">
        <v>259</v>
      </c>
      <c r="X25" s="1" t="s">
        <v>372</v>
      </c>
      <c r="Y25" s="1" t="s">
        <v>260</v>
      </c>
      <c r="Z25" s="1" t="s">
        <v>261</v>
      </c>
      <c r="AG25" s="3" t="s">
        <v>380</v>
      </c>
      <c r="AM25" s="3" t="s">
        <v>386</v>
      </c>
    </row>
    <row r="26" spans="1:42" x14ac:dyDescent="0.2">
      <c r="W26" s="1">
        <v>30</v>
      </c>
      <c r="X26" s="1">
        <v>15</v>
      </c>
      <c r="Y26" s="1">
        <v>5</v>
      </c>
      <c r="Z26" s="1">
        <v>30</v>
      </c>
    </row>
    <row r="27" spans="1:42" x14ac:dyDescent="0.2">
      <c r="A27" s="3" t="s">
        <v>368</v>
      </c>
      <c r="B27" s="3" t="s">
        <v>344</v>
      </c>
      <c r="C27" s="3" t="s">
        <v>216</v>
      </c>
      <c r="D27" s="4" t="str">
        <f t="shared" ref="D27" si="11">"abilities/items/drops/"&amp;A27</f>
        <v>abilities/items/drops/item_visage_4</v>
      </c>
      <c r="E27" s="3" t="s">
        <v>252</v>
      </c>
      <c r="H27" s="3" t="s">
        <v>262</v>
      </c>
      <c r="I27" s="3" t="s">
        <v>244</v>
      </c>
      <c r="J27" s="3">
        <v>1704</v>
      </c>
      <c r="N27" s="3">
        <v>1</v>
      </c>
      <c r="O27" s="3">
        <v>0</v>
      </c>
      <c r="V27" s="3">
        <v>4</v>
      </c>
      <c r="W27" s="1" t="s">
        <v>253</v>
      </c>
      <c r="X27" s="1" t="s">
        <v>254</v>
      </c>
      <c r="Y27" s="1" t="s">
        <v>259</v>
      </c>
      <c r="Z27" s="1" t="s">
        <v>372</v>
      </c>
      <c r="AA27" s="1" t="s">
        <v>260</v>
      </c>
      <c r="AB27" s="1" t="s">
        <v>261</v>
      </c>
      <c r="AC27" s="1" t="s">
        <v>263</v>
      </c>
      <c r="AG27" s="3" t="s">
        <v>380</v>
      </c>
      <c r="AK27" s="3">
        <v>195</v>
      </c>
      <c r="AL27" s="3">
        <v>375</v>
      </c>
      <c r="AM27" s="3" t="s">
        <v>386</v>
      </c>
    </row>
    <row r="28" spans="1:42" x14ac:dyDescent="0.2">
      <c r="W28" s="1">
        <v>20</v>
      </c>
      <c r="X28" s="1">
        <v>25</v>
      </c>
      <c r="Y28" s="1">
        <v>30</v>
      </c>
      <c r="Z28" s="1">
        <v>20</v>
      </c>
      <c r="AA28" s="1">
        <v>5</v>
      </c>
      <c r="AB28" s="1">
        <v>60</v>
      </c>
      <c r="AC28" s="1">
        <v>44</v>
      </c>
    </row>
    <row r="29" spans="1:42" x14ac:dyDescent="0.2">
      <c r="A29" s="3" t="s">
        <v>335</v>
      </c>
      <c r="B29" s="3" t="s">
        <v>345</v>
      </c>
      <c r="C29" s="3" t="s">
        <v>216</v>
      </c>
      <c r="D29" s="4" t="str">
        <f t="shared" ref="D29" si="12">"abilities/items/drops/"&amp;A29</f>
        <v>abilities/items/drops/item_fire_glove</v>
      </c>
      <c r="E29" s="3" t="s">
        <v>252</v>
      </c>
      <c r="H29" s="3" t="s">
        <v>264</v>
      </c>
      <c r="I29" s="3" t="s">
        <v>0</v>
      </c>
      <c r="J29" s="3">
        <v>1705</v>
      </c>
      <c r="N29" s="3">
        <v>1</v>
      </c>
      <c r="O29" s="3">
        <v>0</v>
      </c>
      <c r="W29" s="1" t="s">
        <v>232</v>
      </c>
      <c r="AG29" s="3" t="s">
        <v>380</v>
      </c>
      <c r="AM29" s="3" t="s">
        <v>386</v>
      </c>
    </row>
    <row r="30" spans="1:42" x14ac:dyDescent="0.2">
      <c r="W30" s="1">
        <v>40</v>
      </c>
    </row>
    <row r="31" spans="1:42" x14ac:dyDescent="0.2">
      <c r="A31" s="3" t="s">
        <v>336</v>
      </c>
      <c r="B31" s="3" t="s">
        <v>346</v>
      </c>
      <c r="C31" s="3" t="s">
        <v>216</v>
      </c>
      <c r="D31" s="4" t="str">
        <f t="shared" ref="D31" si="13">"abilities/items/drops/"&amp;A31</f>
        <v>abilities/items/drops/item_fire_head</v>
      </c>
      <c r="E31" s="3" t="s">
        <v>252</v>
      </c>
      <c r="H31" s="3" t="s">
        <v>265</v>
      </c>
      <c r="I31" s="3" t="s">
        <v>0</v>
      </c>
      <c r="J31" s="3">
        <v>1500</v>
      </c>
      <c r="N31" s="3">
        <v>1</v>
      </c>
      <c r="O31" s="3">
        <v>0</v>
      </c>
      <c r="W31" s="1" t="s">
        <v>232</v>
      </c>
      <c r="AG31" s="3" t="s">
        <v>380</v>
      </c>
      <c r="AM31" s="3" t="s">
        <v>386</v>
      </c>
    </row>
    <row r="32" spans="1:42" x14ac:dyDescent="0.2">
      <c r="W32" s="1">
        <v>41</v>
      </c>
    </row>
    <row r="33" spans="1:44" x14ac:dyDescent="0.2">
      <c r="A33" s="3" t="s">
        <v>266</v>
      </c>
      <c r="B33" s="3" t="s">
        <v>347</v>
      </c>
      <c r="C33" s="3" t="s">
        <v>216</v>
      </c>
      <c r="D33" s="4" t="str">
        <f t="shared" ref="D33" si="14">"abilities/items/drops/"&amp;A33</f>
        <v>abilities/items/drops/item_demon_heart</v>
      </c>
      <c r="E33" s="3" t="s">
        <v>252</v>
      </c>
      <c r="H33" s="3" t="s">
        <v>267</v>
      </c>
      <c r="I33" s="3" t="s">
        <v>0</v>
      </c>
      <c r="J33" s="3">
        <v>1501</v>
      </c>
      <c r="N33" s="3">
        <v>1</v>
      </c>
      <c r="O33" s="3">
        <v>0</v>
      </c>
      <c r="W33" s="1" t="s">
        <v>234</v>
      </c>
      <c r="AG33" s="3" t="s">
        <v>380</v>
      </c>
      <c r="AM33" s="3" t="s">
        <v>386</v>
      </c>
    </row>
    <row r="34" spans="1:44" x14ac:dyDescent="0.2">
      <c r="W34" s="1">
        <v>3000</v>
      </c>
    </row>
    <row r="35" spans="1:44" x14ac:dyDescent="0.2">
      <c r="A35" s="3" t="s">
        <v>268</v>
      </c>
      <c r="B35" s="3" t="s">
        <v>348</v>
      </c>
      <c r="C35" s="3" t="s">
        <v>216</v>
      </c>
      <c r="D35" s="4" t="str">
        <f t="shared" ref="D35" si="15">"abilities/items/drops/"&amp;A35</f>
        <v>abilities/items/drops/item_blood_fruit</v>
      </c>
      <c r="E35" s="3" t="s">
        <v>252</v>
      </c>
      <c r="H35" s="3" t="s">
        <v>269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1</v>
      </c>
      <c r="S35" s="3">
        <v>1</v>
      </c>
      <c r="T35" s="3">
        <v>100</v>
      </c>
      <c r="W35" s="1" t="s">
        <v>232</v>
      </c>
      <c r="AM35" s="3" t="s">
        <v>386</v>
      </c>
      <c r="AP35" s="3" t="s">
        <v>270</v>
      </c>
      <c r="AR35" s="3" t="s">
        <v>272</v>
      </c>
    </row>
    <row r="36" spans="1:44" x14ac:dyDescent="0.2">
      <c r="W36" s="1">
        <v>40</v>
      </c>
    </row>
    <row r="37" spans="1:44" x14ac:dyDescent="0.2">
      <c r="A37" s="3" t="s">
        <v>273</v>
      </c>
      <c r="B37" s="3" t="s">
        <v>349</v>
      </c>
      <c r="C37" s="3" t="s">
        <v>216</v>
      </c>
      <c r="D37" s="4" t="str">
        <f t="shared" ref="D37" si="16">"abilities/items/drops/"&amp;A37</f>
        <v>abilities/items/drops/item_exp_fruit</v>
      </c>
      <c r="E37" s="3" t="s">
        <v>361</v>
      </c>
      <c r="H37" s="3" t="s">
        <v>274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1</v>
      </c>
      <c r="S37" s="3">
        <v>1</v>
      </c>
      <c r="T37" s="3">
        <v>100</v>
      </c>
      <c r="W37" s="1" t="s">
        <v>232</v>
      </c>
      <c r="AM37" s="3" t="s">
        <v>386</v>
      </c>
      <c r="AP37" s="3" t="s">
        <v>270</v>
      </c>
      <c r="AR37" s="3" t="s">
        <v>272</v>
      </c>
    </row>
    <row r="38" spans="1:44" x14ac:dyDescent="0.2">
      <c r="W38" s="1">
        <v>41</v>
      </c>
    </row>
    <row r="39" spans="1:44" x14ac:dyDescent="0.2">
      <c r="A39" s="3" t="s">
        <v>275</v>
      </c>
      <c r="B39" s="3" t="s">
        <v>350</v>
      </c>
      <c r="C39" s="3" t="s">
        <v>216</v>
      </c>
      <c r="D39" s="4" t="str">
        <f t="shared" ref="D39" si="17">"abilities/items/drops/"&amp;A39</f>
        <v>abilities/items/drops/item_gold_fruit</v>
      </c>
      <c r="E39" s="3" t="s">
        <v>362</v>
      </c>
      <c r="H39" s="3" t="s">
        <v>276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1</v>
      </c>
      <c r="S39" s="3">
        <v>1</v>
      </c>
      <c r="T39" s="3">
        <v>100</v>
      </c>
      <c r="W39" s="1" t="s">
        <v>232</v>
      </c>
      <c r="AM39" s="3" t="s">
        <v>386</v>
      </c>
      <c r="AP39" s="3" t="s">
        <v>270</v>
      </c>
      <c r="AR39" s="3" t="s">
        <v>272</v>
      </c>
    </row>
    <row r="40" spans="1:44" x14ac:dyDescent="0.2">
      <c r="W40" s="1">
        <v>42</v>
      </c>
    </row>
    <row r="41" spans="1:44" x14ac:dyDescent="0.2">
      <c r="A41" s="3" t="s">
        <v>277</v>
      </c>
      <c r="B41" s="3" t="s">
        <v>351</v>
      </c>
      <c r="C41" s="3" t="s">
        <v>216</v>
      </c>
      <c r="D41" s="4" t="str">
        <f t="shared" ref="D41" si="18">"abilities/items/drops/"&amp;A41</f>
        <v>abilities/items/drops/item_water_gun</v>
      </c>
      <c r="E41" s="3" t="s">
        <v>252</v>
      </c>
      <c r="H41" s="3" t="s">
        <v>278</v>
      </c>
      <c r="I41" s="3" t="s">
        <v>279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V41" s="3">
        <v>5</v>
      </c>
      <c r="W41" s="1" t="s">
        <v>375</v>
      </c>
      <c r="X41" s="1" t="s">
        <v>376</v>
      </c>
      <c r="AG41" s="3" t="s">
        <v>380</v>
      </c>
      <c r="AH41" s="3" t="s">
        <v>383</v>
      </c>
      <c r="AK41" s="3">
        <v>2</v>
      </c>
      <c r="AM41" s="3" t="s">
        <v>386</v>
      </c>
    </row>
    <row r="42" spans="1:44" x14ac:dyDescent="0.2">
      <c r="W42" s="1">
        <v>750</v>
      </c>
      <c r="X42" s="1">
        <v>5</v>
      </c>
    </row>
    <row r="43" spans="1:44" x14ac:dyDescent="0.2">
      <c r="A43" s="3" t="s">
        <v>280</v>
      </c>
      <c r="B43" s="3" t="s">
        <v>352</v>
      </c>
      <c r="C43" s="3" t="s">
        <v>216</v>
      </c>
      <c r="D43" s="4" t="str">
        <f t="shared" ref="D43" si="19">"abilities/items/drops/"&amp;A43</f>
        <v>abilities/items/drops/item_poison_water_gun</v>
      </c>
      <c r="E43" s="3" t="s">
        <v>252</v>
      </c>
      <c r="H43" s="3" t="s">
        <v>278</v>
      </c>
      <c r="I43" s="3" t="s">
        <v>279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V43" s="3">
        <v>5</v>
      </c>
      <c r="W43" s="1" t="s">
        <v>375</v>
      </c>
      <c r="X43" s="1" t="s">
        <v>376</v>
      </c>
      <c r="AG43" s="3" t="s">
        <v>380</v>
      </c>
      <c r="AH43" s="3" t="s">
        <v>383</v>
      </c>
      <c r="AK43" s="3">
        <v>2</v>
      </c>
      <c r="AM43" s="3" t="s">
        <v>386</v>
      </c>
    </row>
    <row r="44" spans="1:44" x14ac:dyDescent="0.2">
      <c r="W44" s="1">
        <v>750</v>
      </c>
      <c r="X44" s="1">
        <v>5</v>
      </c>
    </row>
    <row r="45" spans="1:44" x14ac:dyDescent="0.2">
      <c r="A45" s="3" t="s">
        <v>281</v>
      </c>
      <c r="B45" s="3" t="s">
        <v>353</v>
      </c>
      <c r="C45" s="3" t="s">
        <v>216</v>
      </c>
      <c r="D45" s="4" t="str">
        <f t="shared" ref="D45" si="20">"abilities/items/drops/"&amp;A45</f>
        <v>abilities/items/drops/item_battlefury_ring</v>
      </c>
      <c r="E45" s="3" t="s">
        <v>252</v>
      </c>
      <c r="F45" s="3" t="s">
        <v>282</v>
      </c>
      <c r="H45" s="3" t="s">
        <v>281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V45" s="3">
        <v>3</v>
      </c>
      <c r="W45" s="1" t="s">
        <v>374</v>
      </c>
      <c r="X45" s="1" t="s">
        <v>373</v>
      </c>
      <c r="Y45" s="1" t="s">
        <v>283</v>
      </c>
      <c r="Z45" s="1" t="s">
        <v>284</v>
      </c>
      <c r="AA45" s="1" t="s">
        <v>285</v>
      </c>
      <c r="AB45" s="1" t="s">
        <v>286</v>
      </c>
      <c r="AC45" s="1" t="s">
        <v>287</v>
      </c>
      <c r="AD45" s="1" t="s">
        <v>288</v>
      </c>
      <c r="AE45" s="1" t="s">
        <v>289</v>
      </c>
      <c r="AF45" s="1" t="s">
        <v>290</v>
      </c>
      <c r="AG45" s="3" t="s">
        <v>380</v>
      </c>
      <c r="AH45" s="3" t="s">
        <v>382</v>
      </c>
      <c r="AI45" s="3" t="s">
        <v>180</v>
      </c>
      <c r="AK45" s="3">
        <v>60</v>
      </c>
      <c r="AL45" s="3">
        <v>100</v>
      </c>
      <c r="AO45" s="3">
        <v>1</v>
      </c>
      <c r="AP45" s="3" t="s">
        <v>291</v>
      </c>
      <c r="AQ45" s="3">
        <v>0</v>
      </c>
      <c r="AR45" s="3" t="s">
        <v>272</v>
      </c>
    </row>
    <row r="46" spans="1:44" x14ac:dyDescent="0.2">
      <c r="W46" s="1">
        <v>50</v>
      </c>
      <c r="X46" s="1">
        <v>2</v>
      </c>
      <c r="Y46" s="1">
        <v>600</v>
      </c>
      <c r="Z46" s="1">
        <v>25</v>
      </c>
      <c r="AA46" s="1">
        <v>600</v>
      </c>
      <c r="AB46" s="1">
        <v>1</v>
      </c>
      <c r="AC46" s="1">
        <v>3</v>
      </c>
      <c r="AD46" s="1">
        <v>600</v>
      </c>
      <c r="AE46" s="1">
        <v>100</v>
      </c>
      <c r="AF46" s="1">
        <v>50</v>
      </c>
    </row>
    <row r="47" spans="1:44" x14ac:dyDescent="0.2">
      <c r="A47" s="3" t="s">
        <v>388</v>
      </c>
      <c r="B47" s="3" t="s">
        <v>389</v>
      </c>
      <c r="C47" s="3" t="s">
        <v>216</v>
      </c>
      <c r="D47" s="4" t="str">
        <f t="shared" ref="D47:D49" si="21">"abilities/items/drops/"&amp;A47</f>
        <v>abilities/items/drops/item_fire_egg</v>
      </c>
      <c r="E47" s="3" t="s">
        <v>390</v>
      </c>
      <c r="F47" s="3" t="s">
        <v>218</v>
      </c>
      <c r="H47" s="3" t="s">
        <v>391</v>
      </c>
      <c r="I47" s="3" t="s">
        <v>229</v>
      </c>
      <c r="J47" s="3">
        <v>1781</v>
      </c>
      <c r="M47" s="3">
        <v>99999</v>
      </c>
      <c r="N47" s="3">
        <v>0</v>
      </c>
      <c r="O47" s="3">
        <v>0</v>
      </c>
      <c r="P47" s="3">
        <v>0</v>
      </c>
      <c r="Q47" s="3">
        <v>1</v>
      </c>
      <c r="R47" s="3">
        <v>1</v>
      </c>
      <c r="S47" s="3">
        <v>1</v>
      </c>
      <c r="T47" s="3">
        <v>100</v>
      </c>
      <c r="W47" s="1" t="s">
        <v>392</v>
      </c>
      <c r="X47" s="1" t="s">
        <v>393</v>
      </c>
      <c r="Y47" s="1" t="s">
        <v>394</v>
      </c>
    </row>
    <row r="48" spans="1:44" x14ac:dyDescent="0.2">
      <c r="W48" s="1">
        <v>90</v>
      </c>
      <c r="X48" s="1">
        <v>6</v>
      </c>
      <c r="Y48" s="1">
        <v>2</v>
      </c>
    </row>
    <row r="49" spans="1:27" x14ac:dyDescent="0.2">
      <c r="A49" s="3" t="s">
        <v>395</v>
      </c>
      <c r="B49" s="3" t="s">
        <v>396</v>
      </c>
      <c r="C49" s="3" t="s">
        <v>216</v>
      </c>
      <c r="D49" s="4" t="str">
        <f t="shared" si="21"/>
        <v>abilities/items/drops/item_ice_egg</v>
      </c>
      <c r="E49" s="3" t="s">
        <v>397</v>
      </c>
      <c r="F49" s="3" t="s">
        <v>218</v>
      </c>
      <c r="H49" s="3" t="s">
        <v>398</v>
      </c>
      <c r="I49" s="3" t="s">
        <v>229</v>
      </c>
      <c r="J49" s="3">
        <v>1782</v>
      </c>
      <c r="M49" s="3">
        <v>99999</v>
      </c>
      <c r="N49" s="3">
        <v>0</v>
      </c>
      <c r="O49" s="3">
        <v>0</v>
      </c>
      <c r="P49" s="3">
        <v>0</v>
      </c>
      <c r="Q49" s="3">
        <v>1</v>
      </c>
      <c r="R49" s="3">
        <v>1</v>
      </c>
      <c r="S49" s="3">
        <v>1</v>
      </c>
      <c r="T49" s="3">
        <v>100</v>
      </c>
      <c r="W49" s="1" t="s">
        <v>392</v>
      </c>
      <c r="X49" s="1" t="s">
        <v>393</v>
      </c>
      <c r="Y49" s="1" t="s">
        <v>394</v>
      </c>
    </row>
    <row r="50" spans="1:27" x14ac:dyDescent="0.2">
      <c r="W50" s="1">
        <v>90</v>
      </c>
      <c r="X50" s="1">
        <v>1.3</v>
      </c>
      <c r="Y50" s="1">
        <v>1</v>
      </c>
    </row>
    <row r="51" spans="1:27" x14ac:dyDescent="0.2">
      <c r="A51" s="3" t="s">
        <v>399</v>
      </c>
      <c r="B51" s="3" t="s">
        <v>400</v>
      </c>
      <c r="C51" s="3" t="s">
        <v>216</v>
      </c>
      <c r="D51" s="4" t="str">
        <f t="shared" ref="D51:D52" si="22">"abilities/items/drops/"&amp;A51</f>
        <v>abilities/items/drops/item_gold_egg</v>
      </c>
      <c r="E51" s="3" t="s">
        <v>397</v>
      </c>
      <c r="F51" s="3" t="s">
        <v>218</v>
      </c>
      <c r="H51" s="3" t="s">
        <v>398</v>
      </c>
      <c r="I51" s="3" t="s">
        <v>229</v>
      </c>
      <c r="J51" s="3">
        <v>1782</v>
      </c>
      <c r="M51" s="3">
        <v>99999</v>
      </c>
      <c r="N51" s="3">
        <v>0</v>
      </c>
      <c r="O51" s="3">
        <v>0</v>
      </c>
      <c r="P51" s="3">
        <v>0</v>
      </c>
      <c r="Q51" s="3">
        <v>1</v>
      </c>
      <c r="R51" s="3">
        <v>1</v>
      </c>
      <c r="S51" s="3">
        <v>1</v>
      </c>
      <c r="T51" s="3" t="s">
        <v>401</v>
      </c>
      <c r="W51" s="1" t="s">
        <v>392</v>
      </c>
      <c r="X51" s="1" t="s">
        <v>393</v>
      </c>
      <c r="Y51" s="1" t="s">
        <v>394</v>
      </c>
      <c r="Z51" s="1" t="s">
        <v>402</v>
      </c>
      <c r="AA51" s="1" t="s">
        <v>403</v>
      </c>
    </row>
    <row r="52" spans="1:27" x14ac:dyDescent="0.2">
      <c r="W52" s="1">
        <v>90</v>
      </c>
      <c r="X52" s="1">
        <v>6</v>
      </c>
      <c r="Y52" s="1">
        <v>2</v>
      </c>
      <c r="Z52" s="1">
        <v>1.3</v>
      </c>
      <c r="AA52" s="1">
        <v>1</v>
      </c>
    </row>
  </sheetData>
  <phoneticPr fontId="1" type="noConversion"/>
  <conditionalFormatting sqref="A3:V1048576">
    <cfRule type="expression" dxfId="6" priority="209">
      <formula>AND(ISBLANK(A3)=FALSE,MOD(ROW(),2)=0)</formula>
    </cfRule>
  </conditionalFormatting>
  <conditionalFormatting sqref="A3:XFD1048576">
    <cfRule type="expression" dxfId="5" priority="216">
      <formula>MOD(ROW(A6),4)&lt;2</formula>
    </cfRule>
    <cfRule type="expression" dxfId="4" priority="213">
      <formula>MOD(ROW(A4),4)&lt;2</formula>
    </cfRule>
    <cfRule type="expression" dxfId="3" priority="212">
      <formula>MOD(ROW(A4),2)=0</formula>
    </cfRule>
  </conditionalFormatting>
  <dataValidations disablePrompts="1" count="2">
    <dataValidation type="list" allowBlank="1" showInputMessage="1" showErrorMessage="1" sqref="C4 C44 C6 C8 C10 C12 C14 C16 C18 C20 C22 C24 C26 C28 C30 C32 C34 C36 C38 C40 C42 C46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C33CB2-6EE2-45C3-956C-DDDBBBC49CB1}">
          <x14:formula1>
            <xm:f>Sheet2!$F$20:$F$26</xm:f>
          </x14:formula1>
          <xm:sqref>AP3:AP1048576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AR1:AR1048576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8" sqref="E8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150</v>
      </c>
      <c r="D1" s="6" t="s">
        <v>4</v>
      </c>
      <c r="E1" s="6" t="s">
        <v>1</v>
      </c>
      <c r="F1" s="6" t="s">
        <v>157</v>
      </c>
      <c r="G1" s="6" t="s">
        <v>303</v>
      </c>
      <c r="I1" s="6" t="s">
        <v>146</v>
      </c>
      <c r="J1" s="6" t="s">
        <v>147</v>
      </c>
    </row>
    <row r="2" spans="1:10" x14ac:dyDescent="0.2">
      <c r="A2" s="7" t="s">
        <v>6</v>
      </c>
      <c r="B2" s="7" t="s">
        <v>3</v>
      </c>
      <c r="C2" s="7" t="s">
        <v>151</v>
      </c>
      <c r="D2" s="8" t="s">
        <v>103</v>
      </c>
      <c r="E2" s="8" t="s">
        <v>86</v>
      </c>
      <c r="F2" s="8" t="s">
        <v>159</v>
      </c>
      <c r="G2" s="7" t="s">
        <v>304</v>
      </c>
      <c r="I2" s="8" t="str">
        <f>"abilities/boss/"&amp;Sheet1!A3</f>
        <v>abilities/boss/item_bag_of_coin</v>
      </c>
      <c r="J2" s="8" t="s">
        <v>148</v>
      </c>
    </row>
    <row r="3" spans="1:10" x14ac:dyDescent="0.2">
      <c r="A3" s="7" t="s">
        <v>149</v>
      </c>
      <c r="B3" s="7" t="s">
        <v>145</v>
      </c>
      <c r="C3" s="7" t="s">
        <v>152</v>
      </c>
      <c r="D3" s="8" t="s">
        <v>107</v>
      </c>
      <c r="E3" s="8" t="s">
        <v>87</v>
      </c>
      <c r="F3" s="8" t="s">
        <v>160</v>
      </c>
      <c r="G3" s="7" t="s">
        <v>305</v>
      </c>
      <c r="I3" s="8" t="s">
        <v>155</v>
      </c>
    </row>
    <row r="4" spans="1:10" x14ac:dyDescent="0.2">
      <c r="A4" s="7" t="s">
        <v>8</v>
      </c>
      <c r="B4" s="7" t="s">
        <v>9</v>
      </c>
      <c r="C4" s="7" t="s">
        <v>153</v>
      </c>
      <c r="D4" s="8" t="s">
        <v>108</v>
      </c>
      <c r="E4" s="8" t="s">
        <v>0</v>
      </c>
      <c r="F4" s="8" t="s">
        <v>161</v>
      </c>
      <c r="G4" s="7" t="s">
        <v>306</v>
      </c>
    </row>
    <row r="5" spans="1:10" x14ac:dyDescent="0.2">
      <c r="A5" s="7" t="s">
        <v>43</v>
      </c>
      <c r="B5" s="7" t="s">
        <v>10</v>
      </c>
      <c r="C5" s="7" t="s">
        <v>154</v>
      </c>
      <c r="D5" s="8" t="s">
        <v>109</v>
      </c>
      <c r="E5" s="8" t="s">
        <v>88</v>
      </c>
      <c r="F5" s="8" t="s">
        <v>158</v>
      </c>
      <c r="G5" s="7" t="s">
        <v>307</v>
      </c>
    </row>
    <row r="6" spans="1:10" x14ac:dyDescent="0.2">
      <c r="A6" s="7" t="s">
        <v>44</v>
      </c>
      <c r="B6" s="7" t="s">
        <v>11</v>
      </c>
      <c r="D6" s="8" t="s">
        <v>110</v>
      </c>
      <c r="E6" s="8" t="s">
        <v>5</v>
      </c>
      <c r="F6" s="6" t="s">
        <v>173</v>
      </c>
    </row>
    <row r="7" spans="1:10" x14ac:dyDescent="0.2">
      <c r="A7" s="7" t="s">
        <v>45</v>
      </c>
      <c r="B7" s="7" t="s">
        <v>12</v>
      </c>
      <c r="D7" s="8" t="s">
        <v>111</v>
      </c>
      <c r="E7" s="8" t="s">
        <v>89</v>
      </c>
      <c r="F7" s="7" t="s">
        <v>177</v>
      </c>
    </row>
    <row r="8" spans="1:10" x14ac:dyDescent="0.2">
      <c r="A8" s="7" t="s">
        <v>46</v>
      </c>
      <c r="B8" s="7" t="s">
        <v>13</v>
      </c>
      <c r="D8" s="8" t="s">
        <v>112</v>
      </c>
      <c r="E8" s="8" t="s">
        <v>369</v>
      </c>
      <c r="F8" s="7" t="s">
        <v>178</v>
      </c>
    </row>
    <row r="9" spans="1:10" x14ac:dyDescent="0.2">
      <c r="A9" s="7" t="s">
        <v>47</v>
      </c>
      <c r="B9" s="7" t="s">
        <v>14</v>
      </c>
      <c r="D9" s="8" t="s">
        <v>113</v>
      </c>
      <c r="E9" s="8" t="s">
        <v>90</v>
      </c>
      <c r="F9" s="7" t="s">
        <v>175</v>
      </c>
      <c r="G9" s="7" t="s">
        <v>308</v>
      </c>
    </row>
    <row r="10" spans="1:10" x14ac:dyDescent="0.2">
      <c r="A10" s="7" t="s">
        <v>48</v>
      </c>
      <c r="B10" s="7" t="s">
        <v>15</v>
      </c>
      <c r="D10" s="8" t="s">
        <v>114</v>
      </c>
      <c r="E10" s="8" t="s">
        <v>156</v>
      </c>
      <c r="F10" s="7" t="s">
        <v>179</v>
      </c>
    </row>
    <row r="11" spans="1:10" x14ac:dyDescent="0.2">
      <c r="A11" s="7" t="s">
        <v>49</v>
      </c>
      <c r="B11" s="7" t="s">
        <v>16</v>
      </c>
      <c r="D11" s="8" t="s">
        <v>115</v>
      </c>
      <c r="E11" s="8" t="s">
        <v>91</v>
      </c>
      <c r="F11" s="7" t="s">
        <v>176</v>
      </c>
      <c r="G11" s="7" t="s">
        <v>309</v>
      </c>
    </row>
    <row r="12" spans="1:10" x14ac:dyDescent="0.2">
      <c r="A12" s="7" t="s">
        <v>50</v>
      </c>
      <c r="B12" s="7" t="s">
        <v>17</v>
      </c>
      <c r="D12" s="8" t="s">
        <v>116</v>
      </c>
      <c r="E12" s="8" t="s">
        <v>92</v>
      </c>
      <c r="F12" s="7" t="s">
        <v>180</v>
      </c>
      <c r="G12" s="7" t="s">
        <v>310</v>
      </c>
    </row>
    <row r="13" spans="1:10" x14ac:dyDescent="0.2">
      <c r="A13" s="7" t="s">
        <v>51</v>
      </c>
      <c r="B13" s="7" t="s">
        <v>18</v>
      </c>
      <c r="D13" s="8" t="s">
        <v>137</v>
      </c>
      <c r="E13" s="8" t="s">
        <v>136</v>
      </c>
      <c r="F13" s="6" t="s">
        <v>181</v>
      </c>
      <c r="G13" s="6" t="s">
        <v>325</v>
      </c>
    </row>
    <row r="14" spans="1:10" x14ac:dyDescent="0.2">
      <c r="A14" s="7" t="s">
        <v>52</v>
      </c>
      <c r="B14" s="7" t="s">
        <v>19</v>
      </c>
      <c r="D14" s="8" t="s">
        <v>117</v>
      </c>
      <c r="E14" s="8" t="s">
        <v>191</v>
      </c>
      <c r="F14" s="7" t="s">
        <v>328</v>
      </c>
      <c r="G14" s="7" t="s">
        <v>329</v>
      </c>
    </row>
    <row r="15" spans="1:10" x14ac:dyDescent="0.2">
      <c r="A15" s="7" t="s">
        <v>53</v>
      </c>
      <c r="B15" s="7" t="s">
        <v>21</v>
      </c>
      <c r="D15" s="8" t="s">
        <v>118</v>
      </c>
      <c r="E15" s="8" t="s">
        <v>93</v>
      </c>
      <c r="F15" s="7" t="s">
        <v>327</v>
      </c>
      <c r="G15" s="7" t="s">
        <v>331</v>
      </c>
    </row>
    <row r="16" spans="1:10" x14ac:dyDescent="0.2">
      <c r="A16" s="7" t="s">
        <v>54</v>
      </c>
      <c r="B16" s="7" t="s">
        <v>69</v>
      </c>
      <c r="D16" s="8" t="s">
        <v>119</v>
      </c>
      <c r="E16" s="8" t="s">
        <v>138</v>
      </c>
      <c r="F16" s="7" t="s">
        <v>326</v>
      </c>
      <c r="G16" s="7" t="s">
        <v>330</v>
      </c>
    </row>
    <row r="17" spans="1:7" x14ac:dyDescent="0.2">
      <c r="A17" s="7" t="s">
        <v>55</v>
      </c>
      <c r="B17" s="7" t="s">
        <v>22</v>
      </c>
      <c r="D17" s="8" t="s">
        <v>120</v>
      </c>
      <c r="E17" s="8" t="s">
        <v>139</v>
      </c>
      <c r="F17" s="7" t="s">
        <v>183</v>
      </c>
      <c r="G17" s="7" t="s">
        <v>332</v>
      </c>
    </row>
    <row r="18" spans="1:7" x14ac:dyDescent="0.2">
      <c r="A18" s="7" t="s">
        <v>56</v>
      </c>
      <c r="B18" s="7" t="s">
        <v>23</v>
      </c>
      <c r="D18" s="8" t="s">
        <v>121</v>
      </c>
      <c r="E18" s="8" t="s">
        <v>140</v>
      </c>
      <c r="F18" s="7" t="s">
        <v>182</v>
      </c>
      <c r="G18" s="7" t="s">
        <v>333</v>
      </c>
    </row>
    <row r="19" spans="1:7" x14ac:dyDescent="0.2">
      <c r="A19" s="7" t="s">
        <v>57</v>
      </c>
      <c r="B19" s="7" t="s">
        <v>24</v>
      </c>
      <c r="D19" s="8" t="s">
        <v>122</v>
      </c>
      <c r="E19" s="8" t="s">
        <v>94</v>
      </c>
      <c r="F19" s="6" t="s">
        <v>224</v>
      </c>
      <c r="G19" s="6" t="s">
        <v>311</v>
      </c>
    </row>
    <row r="20" spans="1:7" x14ac:dyDescent="0.2">
      <c r="A20" s="7" t="s">
        <v>58</v>
      </c>
      <c r="B20" s="7" t="s">
        <v>25</v>
      </c>
      <c r="D20" s="8" t="s">
        <v>123</v>
      </c>
      <c r="E20" s="8" t="s">
        <v>95</v>
      </c>
      <c r="F20" s="7" t="s">
        <v>299</v>
      </c>
      <c r="G20" s="7" t="s">
        <v>312</v>
      </c>
    </row>
    <row r="21" spans="1:7" x14ac:dyDescent="0.2">
      <c r="A21" s="7" t="s">
        <v>59</v>
      </c>
      <c r="B21" s="7" t="s">
        <v>26</v>
      </c>
      <c r="D21" s="8" t="s">
        <v>124</v>
      </c>
      <c r="E21" s="8" t="s">
        <v>104</v>
      </c>
      <c r="F21" s="7" t="s">
        <v>250</v>
      </c>
      <c r="G21" s="7" t="s">
        <v>313</v>
      </c>
    </row>
    <row r="22" spans="1:7" x14ac:dyDescent="0.2">
      <c r="A22" s="7" t="s">
        <v>60</v>
      </c>
      <c r="B22" s="7" t="s">
        <v>27</v>
      </c>
      <c r="D22" s="8" t="s">
        <v>125</v>
      </c>
      <c r="E22" s="8" t="s">
        <v>141</v>
      </c>
      <c r="F22" s="7" t="s">
        <v>270</v>
      </c>
      <c r="G22" s="7" t="s">
        <v>314</v>
      </c>
    </row>
    <row r="23" spans="1:7" x14ac:dyDescent="0.2">
      <c r="A23" s="7" t="s">
        <v>61</v>
      </c>
      <c r="B23" s="7" t="s">
        <v>28</v>
      </c>
      <c r="D23" s="8" t="s">
        <v>126</v>
      </c>
      <c r="E23" s="8" t="s">
        <v>142</v>
      </c>
      <c r="F23" s="7" t="s">
        <v>300</v>
      </c>
      <c r="G23" s="7" t="s">
        <v>315</v>
      </c>
    </row>
    <row r="24" spans="1:7" x14ac:dyDescent="0.2">
      <c r="A24" s="7" t="s">
        <v>62</v>
      </c>
      <c r="B24" s="7" t="s">
        <v>29</v>
      </c>
      <c r="D24" s="8" t="s">
        <v>143</v>
      </c>
      <c r="E24" s="8" t="s">
        <v>105</v>
      </c>
      <c r="F24" s="7" t="s">
        <v>301</v>
      </c>
      <c r="G24" s="7" t="s">
        <v>316</v>
      </c>
    </row>
    <row r="25" spans="1:7" x14ac:dyDescent="0.2">
      <c r="A25" s="7" t="s">
        <v>63</v>
      </c>
      <c r="B25" s="7" t="s">
        <v>30</v>
      </c>
      <c r="D25" s="8" t="s">
        <v>127</v>
      </c>
      <c r="E25" s="8" t="s">
        <v>96</v>
      </c>
      <c r="F25" s="7" t="s">
        <v>302</v>
      </c>
      <c r="G25" s="7" t="s">
        <v>318</v>
      </c>
    </row>
    <row r="26" spans="1:7" x14ac:dyDescent="0.2">
      <c r="A26" s="7" t="s">
        <v>64</v>
      </c>
      <c r="B26" s="7" t="s">
        <v>31</v>
      </c>
      <c r="D26" s="8" t="s">
        <v>128</v>
      </c>
      <c r="E26" s="8" t="s">
        <v>144</v>
      </c>
      <c r="F26" s="7" t="s">
        <v>291</v>
      </c>
      <c r="G26" s="7" t="s">
        <v>317</v>
      </c>
    </row>
    <row r="27" spans="1:7" x14ac:dyDescent="0.2">
      <c r="A27" s="7" t="s">
        <v>65</v>
      </c>
      <c r="B27" s="7" t="s">
        <v>20</v>
      </c>
      <c r="D27" s="8" t="s">
        <v>129</v>
      </c>
      <c r="E27" s="8" t="s">
        <v>106</v>
      </c>
      <c r="F27" s="6" t="s">
        <v>226</v>
      </c>
      <c r="G27" s="6" t="s">
        <v>324</v>
      </c>
    </row>
    <row r="28" spans="1:7" x14ac:dyDescent="0.2">
      <c r="A28" s="7" t="s">
        <v>66</v>
      </c>
      <c r="B28" s="7" t="s">
        <v>32</v>
      </c>
      <c r="D28" s="8" t="s">
        <v>130</v>
      </c>
      <c r="E28" s="8" t="s">
        <v>97</v>
      </c>
      <c r="F28" s="7" t="s">
        <v>321</v>
      </c>
      <c r="G28" s="7" t="s">
        <v>322</v>
      </c>
    </row>
    <row r="29" spans="1:7" x14ac:dyDescent="0.2">
      <c r="A29" s="7" t="s">
        <v>67</v>
      </c>
      <c r="B29" s="7" t="s">
        <v>33</v>
      </c>
      <c r="D29" s="8" t="s">
        <v>131</v>
      </c>
      <c r="E29" s="8" t="s">
        <v>98</v>
      </c>
      <c r="F29" s="7" t="s">
        <v>271</v>
      </c>
      <c r="G29" s="7" t="s">
        <v>323</v>
      </c>
    </row>
    <row r="30" spans="1:7" x14ac:dyDescent="0.2">
      <c r="A30" s="7" t="s">
        <v>73</v>
      </c>
      <c r="B30" s="7" t="s">
        <v>68</v>
      </c>
      <c r="D30" s="8" t="s">
        <v>132</v>
      </c>
      <c r="E30" s="8" t="s">
        <v>99</v>
      </c>
    </row>
    <row r="31" spans="1:7" x14ac:dyDescent="0.2">
      <c r="A31" s="7" t="s">
        <v>74</v>
      </c>
      <c r="B31" s="7" t="s">
        <v>70</v>
      </c>
      <c r="D31" s="8" t="s">
        <v>133</v>
      </c>
      <c r="E31" s="8" t="s">
        <v>100</v>
      </c>
    </row>
    <row r="32" spans="1:7" x14ac:dyDescent="0.2">
      <c r="A32" s="7" t="s">
        <v>75</v>
      </c>
      <c r="B32" s="7" t="s">
        <v>71</v>
      </c>
      <c r="D32" s="8" t="s">
        <v>134</v>
      </c>
      <c r="E32" s="8" t="s">
        <v>101</v>
      </c>
    </row>
    <row r="33" spans="1:5" x14ac:dyDescent="0.2">
      <c r="A33" s="7" t="s">
        <v>76</v>
      </c>
      <c r="B33" s="7" t="s">
        <v>72</v>
      </c>
      <c r="D33" s="8" t="s">
        <v>135</v>
      </c>
      <c r="E33" s="8" t="s">
        <v>102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2020-05-09T06:01:28Z</dcterms:modified>
</cp:coreProperties>
</file>