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CAD4CF91-3108-4919-88F2-5064E5FC4F28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Sheet1!$A$1:$AC$38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<sst xmlns="http://schemas.openxmlformats.org/spreadsheetml/2006/main" count="354" uniqueCount="269">
  <si>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</si>
  <si>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</si>
  <si>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</si>
  <si>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</si>
  <si>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</si>
  <si>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</si>
  <si>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</si>
  <si>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</si>
  <si>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</si>
  <si>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</si>
  <si>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</si>
  <si>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</si>
  <si>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</si>
  <si>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</si>
  <si>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</si>
  <si>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</si>
  <si>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</si>
  <si>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</si>
  <si>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</si>
  <si>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</si>
  <si>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</si>
  <si>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</si>
  <si>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</si>
  <si>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</si>
  <si>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</si>
  <si>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</si>
  <si>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</si>
  <si>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</si>
  <si>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</si>
  <si>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</si>
  <si>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</si>
  <si>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</si>
  <si>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</si>
  <si>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</si>
  <si>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</si>
  <si>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</si>
  <si>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</si>
  <si>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</si>
  <si>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</si>
  <si>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</si>
  <si>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</si>
  <si>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</si>
  <si>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</si>
  <si>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</si>
  <si>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</si>
  <si>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</si>
  <si>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</si>
  <si>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</si>
  <si>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</si>
  <si>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</si>
  <si>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</si>
  <si>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</si>
  <si>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</si>
  <si>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</si>
  <si>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</si>
  <si>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</si>
  <si>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</si>
  <si>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</si>
  <si>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</si>
  <si>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</si>
  <si>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</si>
  <si>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</si>
  <si>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</si>
  <si>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</si>
  <si>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</si>
  <si>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</si>
  <si>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</si>
  <si>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</si>
  <si>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</si>
  <si>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</si>
  <si>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</si>
  <si>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</si>
  <si>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</si>
  <si>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</si>
  <si>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</si>
  <si>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</si>
  <si>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</si>
  <si>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</si>
  <si>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</si>
  <si>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</si>
  <si>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</si>
  <si>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</si>
  <si>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</si>
  <si>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</si>
  <si>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</si>
  <si>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</si>
  <si>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</si>
  <si>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</si>
  <si>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</si>
  <si>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</si>
  <si>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</si>
  <si>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</si>
  <si>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</si>
  <si>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</si>
  <si>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</si>
  <si>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</si>
  <si>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</si>
  <si>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</si>
  <si>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</si>
  <si>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</si>
  <si>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</si>
  <si>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</si>
  <si>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</si>
  <si>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</si>
  <si>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</si>
  <si>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</si>
  <si>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</si>
  <si>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</si>
  <si>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</si>
  <si>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</si>
  <si>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</si>
  <si>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</si>
  <si>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</si>
  <si>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</si>
  <si>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</si>
  <si>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</si>
  <si>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</si>
  <si>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</si>
  <si>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</si>
  <si>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</si>
  <si>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</si>
  <si>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</si>
  <si>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</si>
  <si>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</si>
  <si>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</si>
  <si>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</si>
  <si>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</si>
  <si>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</si>
  <si>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</si>
  <si>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</si>
  <si>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</si>
  <si>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</si>
  <si>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</si>
  <si>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</si>
  <si>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</si>
  <si>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</si>
  <si>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</si>
  <si>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</si>
  <si>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</si>
  <si>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</si>
  <si>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</si>
  <si>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</si>
  <si>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</si>
  <si>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</si>
  <si>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</si>
  <si>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</si>
  <si>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</si>
  <si>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</si>
  <si>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</si>
  <si>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</si>
  <si>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</si>
  <si>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</si>
  <si>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</si>
  <si>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</si>
  <si>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</si>
  <si>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</si>
  <si>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</si>
  <si>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</si>
  <si>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</si>
  <si>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</si>
  <si>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</si>
  <si>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</si>
  <si>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</si>
  <si>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</si>
  <si>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</si>
  <si>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</si>
  <si>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</si>
  <si>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</si>
  <si>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最大等级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</si>
  <si>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</si>
  <si>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</si>
  <si>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</si>
  <si>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</si>
  <si>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</si>
  <si>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AbilityUnitDamageType</t>
    <phoneticPr fontId="1" type="noConversion"/>
  </si>
  <si>
    <t>AbilitySpecial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</si>
  <si>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</si>
  <si>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</si>
  <si>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</si>
  <si>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</si>
  <si>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</si>
  <si>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</si>
  <si>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</si>
  <si>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</si>
  <si>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</si>
  <si>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基础等级</t>
    <phoneticPr fontId="1" type="noConversion"/>
  </si>
  <si>
    <t>DOTA_ABILITY_BEHAVIOR_NO_TARGET | DOTA_ABILITY_BEHAVIOR_IMMEDIATE</t>
    <phoneticPr fontId="1" type="noConversion"/>
  </si>
  <si>
    <t>物品ID</t>
    <phoneticPr fontId="1" type="noConversion"/>
  </si>
  <si>
    <t>是否出售</t>
    <phoneticPr fontId="1" type="noConversion"/>
  </si>
  <si>
    <t>能否购买</t>
    <phoneticPr fontId="1" type="noConversion"/>
  </si>
  <si>
    <t>永久的</t>
    <phoneticPr fontId="1" type="noConversion"/>
  </si>
  <si>
    <t>可叠加</t>
    <phoneticPr fontId="1" type="noConversion"/>
  </si>
  <si>
    <t>DOTA_ABILITY_BEHAVIOR_IMMEDIATE</t>
    <phoneticPr fontId="1" type="noConversion"/>
  </si>
  <si>
    <t>价格</t>
    <phoneticPr fontId="1" type="noConversion"/>
  </si>
  <si>
    <t>拾取使用</t>
    <phoneticPr fontId="1" type="noConversion"/>
  </si>
  <si>
    <t>初始数量</t>
    <phoneticPr fontId="1" type="noConversion"/>
  </si>
  <si>
    <t>ItemCastOnPickup</t>
    <phoneticPr fontId="1" type="noConversion"/>
  </si>
  <si>
    <t>ID</t>
    <phoneticPr fontId="1" type="noConversion"/>
  </si>
  <si>
    <t>MaxUpgradeLevel</t>
    <phoneticPr fontId="1" type="noConversion"/>
  </si>
  <si>
    <t>ItemBaseLevel</t>
    <phoneticPr fontId="1" type="noConversion"/>
  </si>
  <si>
    <t>ItemCost</t>
    <phoneticPr fontId="1" type="noConversion"/>
  </si>
  <si>
    <t>ItemSellable</t>
    <phoneticPr fontId="1" type="noConversion"/>
  </si>
  <si>
    <t>ItemPurchasable</t>
    <phoneticPr fontId="1" type="noConversion"/>
  </si>
  <si>
    <t>ItemPermanent</t>
    <phoneticPr fontId="1" type="noConversion"/>
  </si>
  <si>
    <t>ItemStackable</t>
    <phoneticPr fontId="1" type="noConversion"/>
  </si>
  <si>
    <t>ItemInitialCharges</t>
    <phoneticPr fontId="1" type="noConversion"/>
  </si>
  <si>
    <t>item_lua</t>
    <phoneticPr fontId="1" type="noConversion"/>
  </si>
  <si>
    <t>Model</t>
  </si>
  <si>
    <t>Effect</t>
  </si>
  <si>
    <t>AbilityCastRange</t>
  </si>
  <si>
    <t>DOTA_ABILITY_BEHAVIOR_PASSIVE</t>
  </si>
  <si>
    <t>item_ring_1</t>
    <phoneticPr fontId="1" type="noConversion"/>
  </si>
  <si>
    <t>晨辉之戒</t>
  </si>
  <si>
    <t>宝石之戒</t>
  </si>
  <si>
    <t>恶魔之戒</t>
  </si>
  <si>
    <t>石化妖目童</t>
  </si>
  <si>
    <t>诡丝重目童</t>
  </si>
  <si>
    <t>黑夜之戒</t>
  </si>
  <si>
    <t>item_ring_2</t>
  </si>
  <si>
    <t>item_ring_3</t>
  </si>
  <si>
    <t>item_ring_4</t>
  </si>
  <si>
    <t>item_ring_5</t>
  </si>
  <si>
    <t>item_ring_6</t>
  </si>
  <si>
    <t>未知的戒指</t>
    <phoneticPr fontId="1" type="noConversion"/>
  </si>
  <si>
    <t>item_ring_shop</t>
  </si>
  <si>
    <t>item_ring_shop</t>
    <phoneticPr fontId="1" type="noConversion"/>
  </si>
  <si>
    <t>施法距离</t>
    <phoneticPr fontId="1" type="noConversion"/>
  </si>
  <si>
    <t>ItemKillable</t>
    <phoneticPr fontId="1" type="noConversion"/>
  </si>
  <si>
    <t>可摧毁</t>
    <phoneticPr fontId="1" type="noConversion"/>
  </si>
  <si>
    <t>models/props_gameplay/neutral_box.vmdl</t>
  </si>
  <si>
    <t>AbilityCooldown</t>
    <phoneticPr fontId="1" type="noConversion"/>
  </si>
  <si>
    <t>冷却时间</t>
    <phoneticPr fontId="1" type="noConversion"/>
  </si>
  <si>
    <t>AbilityDuration</t>
    <phoneticPr fontId="1" type="noConversion"/>
  </si>
  <si>
    <t>持续时间</t>
    <phoneticPr fontId="1" type="noConversion"/>
  </si>
  <si>
    <t>bonus_stats</t>
  </si>
  <si>
    <t>health_regen_percent</t>
  </si>
  <si>
    <t>cooldown_reduce</t>
  </si>
  <si>
    <t>bonus_damage</t>
  </si>
  <si>
    <t>damage_percent</t>
  </si>
  <si>
    <t>damage_reduce_percent</t>
  </si>
  <si>
    <t>property_percent</t>
  </si>
  <si>
    <t>gold_gain_percent</t>
  </si>
  <si>
    <t>time_start</t>
    <phoneticPr fontId="1" type="noConversion"/>
  </si>
  <si>
    <t>time_end</t>
    <phoneticPr fontId="1" type="noConversion"/>
  </si>
  <si>
    <t>item_datadriven</t>
  </si>
  <si>
    <t>item_ring_secret</t>
  </si>
  <si>
    <t>item_ring_secret</t>
    <phoneticPr fontId="1" type="noConversion"/>
  </si>
  <si>
    <t>隐秘之戒</t>
    <phoneticPr fontId="1" type="noConversion"/>
  </si>
  <si>
    <t>abilities/items/ring/item_ring</t>
    <phoneticPr fontId="1" type="noConversion"/>
  </si>
  <si>
    <t>abilities/items/ring/item_ring_secret</t>
    <phoneticPr fontId="1" type="noConversion"/>
  </si>
  <si>
    <t>item_ring_world</t>
  </si>
  <si>
    <t>item_ring_world</t>
    <phoneticPr fontId="1" type="noConversion"/>
  </si>
  <si>
    <t>item_ring_broken</t>
  </si>
  <si>
    <t>item_ring_broken</t>
    <phoneticPr fontId="1" type="noConversion"/>
  </si>
  <si>
    <t>破碎的隐秘之戒</t>
    <phoneticPr fontId="1" type="noConversion"/>
  </si>
  <si>
    <t>创世之戒</t>
    <phoneticPr fontId="1" type="noConversion"/>
  </si>
  <si>
    <t>abilities/items/ring/item_ring_world</t>
    <phoneticPr fontId="1" type="noConversion"/>
  </si>
  <si>
    <t>bonus_health</t>
  </si>
  <si>
    <t>bonus_mana</t>
  </si>
  <si>
    <t>bonus_hp_regen</t>
  </si>
  <si>
    <t>bonus_mp_regen</t>
  </si>
  <si>
    <t>bonus_armor</t>
  </si>
  <si>
    <t>bonus_attack</t>
  </si>
  <si>
    <t>bonus_attack_speed</t>
  </si>
  <si>
    <t>破碎的创世之戒</t>
    <phoneticPr fontId="1" type="noConversion"/>
  </si>
  <si>
    <t>item_ronghe</t>
  </si>
  <si>
    <t>融合</t>
    <phoneticPr fontId="1" type="noConversion"/>
  </si>
  <si>
    <t>item_datadriven</t>
    <phoneticPr fontId="1" type="noConversion"/>
  </si>
  <si>
    <t>item_ring_world_broken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</si>
</sst>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93"/>
  <sheetViews>
    <sheetView tabSelected="1" workbookViewId="0">
      <pane xSplit="2" topLeftCell="C1" activePane="topRight" state="frozen"/>
      <selection pane="topRight" activeCell="E20" sqref="E20"/>
    </sheetView>
  </sheetViews>
  <sheetFormatPr defaultColWidth="9" defaultRowHeight="13.9" x14ac:dyDescent="0.4"/>
  <cols>
    <col min="1" max="1" width="20.19921875" style="3" bestFit="1" customWidth="1"/>
    <col min="2" max="2" width="10.796875" style="3" bestFit="1" customWidth="1"/>
    <col min="3" max="3" width="9.1328125" style="3" bestFit="1" customWidth="1"/>
    <col min="4" max="4" width="27.86328125" style="3" bestFit="1" customWidth="1"/>
    <col min="5" max="5" width="46.73046875" style="3" bestFit="1" customWidth="1"/>
    <col min="6" max="6" width="49" style="3" bestFit="1" customWidth="1"/>
    <col min="7" max="7" width="18.265625" style="3" bestFit="1" customWidth="1"/>
    <col min="8" max="8" width="70.9296875" style="3" bestFit="1" customWidth="1"/>
    <col min="9" max="9" width="6.73046875" style="3" bestFit="1" customWidth="1"/>
    <col min="10" max="10" width="16.53125" style="3" bestFit="1" customWidth="1"/>
    <col min="11" max="11" width="13" style="3" bestFit="1" customWidth="1"/>
    <col min="12" max="12" width="8.46484375" style="3" bestFit="1" customWidth="1"/>
    <col min="13" max="13" width="11.1328125" style="3" bestFit="1" customWidth="1"/>
    <col min="14" max="14" width="15.1328125" style="3" bestFit="1" customWidth="1"/>
    <col min="15" max="15" width="15.1328125" style="3" customWidth="1"/>
    <col min="16" max="16" width="14.06640625" style="3" bestFit="1" customWidth="1"/>
    <col min="17" max="17" width="12.86328125" style="3" bestFit="1" customWidth="1"/>
    <col min="18" max="18" width="16.73046875" style="3" bestFit="1" customWidth="1"/>
    <col min="19" max="19" width="16.33203125" style="3" bestFit="1" customWidth="1"/>
    <col min="20" max="20" width="15.3984375" style="3" bestFit="1" customWidth="1"/>
    <col min="21" max="22" width="15.3984375" style="3" customWidth="1"/>
    <col min="23" max="29" width="12.06640625" style="1" bestFit="1" customWidth="1"/>
    <col min="30" max="30" width="12.73046875" style="1" bestFit="1" customWidth="1"/>
    <col min="31" max="16384" width="9" style="3"/>
  </cols>
  <sheetData>
    <row r="1" spans="1:30" s="7" customFormat="1" x14ac:dyDescent="0.4">
      <c r="A1" s="7" t="s">
        <v>163</v>
      </c>
      <c r="B1" s="7" t="s">
        <v>164</v>
      </c>
      <c r="C1" s="7" t="s">
        <v>165</v>
      </c>
      <c r="D1" s="7" t="s">
        <v>166</v>
      </c>
      <c r="G1" s="7" t="s">
        <v>167</v>
      </c>
      <c r="H1" s="7" t="s">
        <v>4</v>
      </c>
      <c r="I1" s="7" t="s">
        <v>187</v>
      </c>
      <c r="J1" s="7" t="s">
        <v>168</v>
      </c>
      <c r="K1" s="7" t="s">
        <v>185</v>
      </c>
      <c r="L1" s="7" t="s">
        <v>193</v>
      </c>
      <c r="M1" s="7" t="s">
        <v>188</v>
      </c>
      <c r="N1" s="7" t="s">
        <v>189</v>
      </c>
      <c r="O1" s="7" t="s">
        <v>228</v>
      </c>
      <c r="P1" s="7" t="s">
        <v>190</v>
      </c>
      <c r="Q1" s="7" t="s">
        <v>191</v>
      </c>
      <c r="R1" s="7" t="s">
        <v>194</v>
      </c>
      <c r="S1" s="7" t="s">
        <v>195</v>
      </c>
      <c r="T1" s="7" t="s">
        <v>226</v>
      </c>
      <c r="U1" s="7" t="s">
        <v>231</v>
      </c>
      <c r="V1" s="7" t="s">
        <v>233</v>
      </c>
      <c r="W1" s="7" t="s">
        <v>169</v>
      </c>
      <c r="X1" s="7" t="s">
        <v>169</v>
      </c>
      <c r="Y1" s="7" t="s">
        <v>169</v>
      </c>
      <c r="Z1" s="7" t="s">
        <v>169</v>
      </c>
      <c r="AA1" s="7" t="s">
        <v>169</v>
      </c>
      <c r="AB1" s="7" t="s">
        <v>169</v>
      </c>
      <c r="AC1" s="7" t="s">
        <v>169</v>
      </c>
      <c r="AD1" s="7" t="s">
        <v>169</v>
      </c>
    </row>
    <row r="2" spans="1:30" s="7" customFormat="1" x14ac:dyDescent="0.4">
      <c r="A2" s="7" t="s">
        <v>170</v>
      </c>
      <c r="C2" s="7" t="s">
        <v>171</v>
      </c>
      <c r="D2" s="7" t="s">
        <v>172</v>
      </c>
      <c r="E2" s="7" t="s">
        <v>207</v>
      </c>
      <c r="F2" s="7" t="s">
        <v>208</v>
      </c>
      <c r="G2" s="7" t="s">
        <v>173</v>
      </c>
      <c r="H2" s="7" t="s">
        <v>1</v>
      </c>
      <c r="I2" s="7" t="s">
        <v>197</v>
      </c>
      <c r="J2" s="7" t="s">
        <v>198</v>
      </c>
      <c r="K2" s="7" t="s">
        <v>199</v>
      </c>
      <c r="L2" s="7" t="s">
        <v>200</v>
      </c>
      <c r="M2" s="7" t="s">
        <v>201</v>
      </c>
      <c r="N2" s="7" t="s">
        <v>202</v>
      </c>
      <c r="O2" s="7" t="s">
        <v>227</v>
      </c>
      <c r="P2" s="7" t="s">
        <v>203</v>
      </c>
      <c r="Q2" s="7" t="s">
        <v>204</v>
      </c>
      <c r="R2" s="7" t="s">
        <v>196</v>
      </c>
      <c r="S2" s="7" t="s">
        <v>205</v>
      </c>
      <c r="T2" s="7" t="s">
        <v>209</v>
      </c>
      <c r="U2" s="7" t="s">
        <v>230</v>
      </c>
      <c r="V2" s="7" t="s">
        <v>232</v>
      </c>
      <c r="W2" s="7" t="s">
        <v>175</v>
      </c>
      <c r="X2" s="7" t="s">
        <v>175</v>
      </c>
      <c r="Y2" s="7" t="s">
        <v>175</v>
      </c>
      <c r="Z2" s="7" t="s">
        <v>175</v>
      </c>
      <c r="AA2" s="7" t="s">
        <v>175</v>
      </c>
      <c r="AB2" s="7" t="s">
        <v>175</v>
      </c>
      <c r="AC2" s="7" t="s">
        <v>175</v>
      </c>
      <c r="AD2" s="7" t="s">
        <v>175</v>
      </c>
    </row>
    <row r="3" spans="1:30" x14ac:dyDescent="0.4">
      <c r="A3" s="3" t="s">
        <v>225</v>
      </c>
      <c r="B3" s="3" t="s">
        <v>223</v>
      </c>
      <c r="C3" s="3" t="s">
        <v>267</v>
      </c>
      <c r="D3" s="4"/>
      <c r="E3" s="4" t="s">
        <v>229</v>
      </c>
      <c r="F3" s="4"/>
      <c r="G3" s="3" t="s">
        <v>224</v>
      </c>
      <c r="H3" s="3" t="s">
        <v>210</v>
      </c>
      <c r="I3" s="3">
        <v>1783</v>
      </c>
      <c r="L3" s="3">
        <v>1200</v>
      </c>
      <c r="M3" s="3">
        <v>0</v>
      </c>
      <c r="N3" s="3">
        <v>0</v>
      </c>
      <c r="O3" s="3">
        <v>0</v>
      </c>
      <c r="P3" s="3">
        <v>1</v>
      </c>
      <c r="Z3" s="6"/>
      <c r="AA3" s="6"/>
    </row>
    <row r="4" spans="1:30" x14ac:dyDescent="0.4">
      <c r="Z4" s="2"/>
      <c r="AA4" s="2"/>
    </row>
    <row r="5" spans="1:30" x14ac:dyDescent="0.4">
      <c r="A5" s="3" t="s">
        <v>211</v>
      </c>
      <c r="B5" s="3" t="s">
        <v>212</v>
      </c>
      <c r="C5" s="3" t="s">
        <v>206</v>
      </c>
      <c r="D5" s="4" t="s">
        <v>248</v>
      </c>
      <c r="E5" s="4" t="s">
        <v>229</v>
      </c>
      <c r="F5" s="4"/>
      <c r="G5" s="3" t="s">
        <v>211</v>
      </c>
      <c r="H5" s="3" t="s">
        <v>186</v>
      </c>
      <c r="I5" s="3">
        <v>1784</v>
      </c>
      <c r="L5" s="3">
        <v>2500</v>
      </c>
      <c r="M5" s="3">
        <v>0</v>
      </c>
      <c r="N5" s="3">
        <v>0</v>
      </c>
      <c r="O5" s="3">
        <v>0</v>
      </c>
      <c r="P5" s="3">
        <v>1</v>
      </c>
      <c r="U5" s="3">
        <v>30</v>
      </c>
      <c r="V5" s="3">
        <v>20</v>
      </c>
      <c r="W5" s="1" t="s">
        <v>242</v>
      </c>
      <c r="X5" s="1" t="s">
        <v>243</v>
      </c>
      <c r="Y5" s="1" t="s">
        <v>234</v>
      </c>
      <c r="Z5" s="1" t="s">
        <v>235</v>
      </c>
    </row>
    <row r="6" spans="1:30" x14ac:dyDescent="0.4">
      <c r="W6" s="1">
        <v>6</v>
      </c>
      <c r="X6" s="1">
        <v>8</v>
      </c>
      <c r="Y6" s="1">
        <v>60</v>
      </c>
      <c r="Z6" s="1">
        <v>6</v>
      </c>
    </row>
    <row r="7" spans="1:30" x14ac:dyDescent="0.4">
      <c r="A7" s="3" t="s">
        <v>218</v>
      </c>
      <c r="B7" s="3" t="s">
        <v>213</v>
      </c>
      <c r="C7" s="3" t="s">
        <v>206</v>
      </c>
      <c r="D7" s="4" t="s">
        <v>248</v>
      </c>
      <c r="E7" s="4" t="s">
        <v>229</v>
      </c>
      <c r="F7" s="4"/>
      <c r="G7" s="3" t="s">
        <v>218</v>
      </c>
      <c r="H7" s="3" t="s">
        <v>186</v>
      </c>
      <c r="I7" s="3">
        <v>1785</v>
      </c>
      <c r="L7" s="3">
        <v>2500</v>
      </c>
      <c r="M7" s="3">
        <v>0</v>
      </c>
      <c r="N7" s="3">
        <v>0</v>
      </c>
      <c r="O7" s="3">
        <v>0</v>
      </c>
      <c r="P7" s="3">
        <v>1</v>
      </c>
      <c r="U7" s="3">
        <v>30</v>
      </c>
      <c r="V7" s="3">
        <v>20</v>
      </c>
      <c r="W7" s="1" t="s">
        <v>242</v>
      </c>
      <c r="X7" s="1" t="s">
        <v>243</v>
      </c>
      <c r="Y7" s="1" t="s">
        <v>234</v>
      </c>
      <c r="Z7" s="1" t="s">
        <v>241</v>
      </c>
    </row>
    <row r="8" spans="1:30" x14ac:dyDescent="0.4">
      <c r="W8" s="1">
        <v>8</v>
      </c>
      <c r="X8" s="1">
        <v>12</v>
      </c>
      <c r="Y8" s="1">
        <v>20</v>
      </c>
      <c r="Z8" s="1">
        <v>25</v>
      </c>
    </row>
    <row r="9" spans="1:30" s="4" customFormat="1" x14ac:dyDescent="0.4">
      <c r="A9" s="3" t="s">
        <v>219</v>
      </c>
      <c r="B9" s="3" t="s">
        <v>214</v>
      </c>
      <c r="C9" s="3" t="s">
        <v>206</v>
      </c>
      <c r="D9" s="4" t="s">
        <v>248</v>
      </c>
      <c r="E9" s="4" t="s">
        <v>229</v>
      </c>
      <c r="G9" s="3" t="s">
        <v>219</v>
      </c>
      <c r="H9" s="3" t="s">
        <v>186</v>
      </c>
      <c r="I9" s="3">
        <v>1786</v>
      </c>
      <c r="J9" s="3"/>
      <c r="K9" s="3"/>
      <c r="L9" s="3">
        <v>2500</v>
      </c>
      <c r="M9" s="3">
        <v>0</v>
      </c>
      <c r="N9" s="3">
        <v>0</v>
      </c>
      <c r="O9" s="3">
        <v>0</v>
      </c>
      <c r="P9" s="3">
        <v>1</v>
      </c>
      <c r="Q9" s="3"/>
      <c r="R9" s="3"/>
      <c r="S9" s="3"/>
      <c r="T9" s="3"/>
      <c r="U9" s="3">
        <v>30</v>
      </c>
      <c r="V9" s="3">
        <v>20</v>
      </c>
      <c r="W9" s="1" t="s">
        <v>242</v>
      </c>
      <c r="X9" s="1" t="s">
        <v>243</v>
      </c>
      <c r="Y9" s="1" t="s">
        <v>234</v>
      </c>
      <c r="Z9" s="1" t="s">
        <v>240</v>
      </c>
      <c r="AA9" s="1"/>
      <c r="AB9" s="1"/>
      <c r="AC9" s="1"/>
      <c r="AD9" s="1"/>
    </row>
    <row r="10" spans="1:30" s="4" customFormat="1" x14ac:dyDescent="0.4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1">
        <v>12</v>
      </c>
      <c r="X10" s="1">
        <v>18</v>
      </c>
      <c r="Y10" s="1">
        <v>40</v>
      </c>
      <c r="Z10" s="1">
        <v>10</v>
      </c>
      <c r="AA10" s="1"/>
      <c r="AB10" s="1"/>
      <c r="AC10" s="1"/>
      <c r="AD10" s="1"/>
    </row>
    <row r="11" spans="1:30" x14ac:dyDescent="0.4">
      <c r="A11" s="3" t="s">
        <v>220</v>
      </c>
      <c r="B11" s="3" t="s">
        <v>215</v>
      </c>
      <c r="C11" s="3" t="s">
        <v>206</v>
      </c>
      <c r="D11" s="4" t="s">
        <v>248</v>
      </c>
      <c r="E11" s="4" t="s">
        <v>229</v>
      </c>
      <c r="F11" s="4"/>
      <c r="G11" s="3" t="s">
        <v>220</v>
      </c>
      <c r="H11" s="3" t="s">
        <v>186</v>
      </c>
      <c r="I11" s="3">
        <v>1787</v>
      </c>
      <c r="L11" s="3">
        <v>2500</v>
      </c>
      <c r="M11" s="3">
        <v>0</v>
      </c>
      <c r="N11" s="3">
        <v>0</v>
      </c>
      <c r="O11" s="3">
        <v>0</v>
      </c>
      <c r="P11" s="3">
        <v>1</v>
      </c>
      <c r="U11" s="3">
        <v>30</v>
      </c>
      <c r="V11" s="3">
        <v>20</v>
      </c>
      <c r="W11" s="1" t="s">
        <v>242</v>
      </c>
      <c r="X11" s="1" t="s">
        <v>243</v>
      </c>
      <c r="Y11" s="1" t="s">
        <v>234</v>
      </c>
      <c r="Z11" s="1" t="s">
        <v>239</v>
      </c>
    </row>
    <row r="12" spans="1:30" x14ac:dyDescent="0.4">
      <c r="W12" s="1">
        <v>18</v>
      </c>
      <c r="X12" s="1">
        <v>24</v>
      </c>
      <c r="Y12" s="1">
        <v>60</v>
      </c>
      <c r="Z12" s="1">
        <v>10</v>
      </c>
    </row>
    <row r="13" spans="1:30" s="4" customFormat="1" x14ac:dyDescent="0.4">
      <c r="A13" s="3" t="s">
        <v>221</v>
      </c>
      <c r="B13" s="3" t="s">
        <v>216</v>
      </c>
      <c r="C13" s="3" t="s">
        <v>206</v>
      </c>
      <c r="D13" s="4" t="s">
        <v>248</v>
      </c>
      <c r="E13" s="4" t="s">
        <v>229</v>
      </c>
      <c r="G13" s="3" t="s">
        <v>221</v>
      </c>
      <c r="H13" s="3" t="s">
        <v>186</v>
      </c>
      <c r="I13" s="3">
        <v>1788</v>
      </c>
      <c r="J13" s="3"/>
      <c r="K13" s="3"/>
      <c r="L13" s="3">
        <v>2500</v>
      </c>
      <c r="M13" s="3">
        <v>0</v>
      </c>
      <c r="N13" s="3">
        <v>0</v>
      </c>
      <c r="O13" s="3">
        <v>0</v>
      </c>
      <c r="P13" s="3">
        <v>1</v>
      </c>
      <c r="Q13" s="3"/>
      <c r="R13" s="3"/>
      <c r="S13" s="3"/>
      <c r="T13" s="3"/>
      <c r="U13" s="3">
        <v>30</v>
      </c>
      <c r="V13" s="3">
        <v>20</v>
      </c>
      <c r="W13" s="1" t="s">
        <v>242</v>
      </c>
      <c r="X13" s="1" t="s">
        <v>243</v>
      </c>
      <c r="Y13" s="1" t="s">
        <v>234</v>
      </c>
      <c r="Z13" s="1" t="s">
        <v>237</v>
      </c>
      <c r="AA13" s="1" t="s">
        <v>238</v>
      </c>
      <c r="AB13" s="1"/>
      <c r="AC13" s="1"/>
      <c r="AD13" s="1"/>
    </row>
    <row r="14" spans="1:30" s="4" customFormat="1" x14ac:dyDescent="0.4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1">
        <v>0</v>
      </c>
      <c r="X14" s="1">
        <v>2</v>
      </c>
      <c r="Y14" s="1">
        <v>80</v>
      </c>
      <c r="Z14" s="1">
        <v>50</v>
      </c>
      <c r="AA14" s="1">
        <v>10</v>
      </c>
      <c r="AB14" s="1"/>
      <c r="AC14" s="1"/>
      <c r="AD14" s="1"/>
    </row>
    <row r="15" spans="1:30" x14ac:dyDescent="0.4">
      <c r="A15" s="3" t="s">
        <v>222</v>
      </c>
      <c r="B15" s="3" t="s">
        <v>217</v>
      </c>
      <c r="C15" s="3" t="s">
        <v>206</v>
      </c>
      <c r="D15" s="4" t="s">
        <v>248</v>
      </c>
      <c r="E15" s="4" t="s">
        <v>229</v>
      </c>
      <c r="F15" s="4"/>
      <c r="G15" s="3" t="s">
        <v>222</v>
      </c>
      <c r="H15" s="3" t="s">
        <v>186</v>
      </c>
      <c r="I15" s="3">
        <v>1789</v>
      </c>
      <c r="L15" s="3">
        <v>2500</v>
      </c>
      <c r="M15" s="3">
        <v>0</v>
      </c>
      <c r="N15" s="3">
        <v>0</v>
      </c>
      <c r="O15" s="3">
        <v>0</v>
      </c>
      <c r="P15" s="3">
        <v>1</v>
      </c>
      <c r="U15" s="3">
        <v>30</v>
      </c>
      <c r="V15" s="3">
        <v>20</v>
      </c>
      <c r="W15" s="1" t="s">
        <v>242</v>
      </c>
      <c r="X15" s="1" t="s">
        <v>243</v>
      </c>
      <c r="Y15" s="1" t="s">
        <v>234</v>
      </c>
      <c r="Z15" s="1" t="s">
        <v>236</v>
      </c>
    </row>
    <row r="16" spans="1:30" x14ac:dyDescent="0.4">
      <c r="W16" s="1">
        <v>2</v>
      </c>
      <c r="X16" s="1">
        <v>6</v>
      </c>
      <c r="Y16" s="1">
        <v>40</v>
      </c>
      <c r="Z16" s="1">
        <v>1</v>
      </c>
    </row>
    <row r="17" spans="1:30" s="4" customFormat="1" x14ac:dyDescent="0.4">
      <c r="A17" s="3" t="s">
        <v>246</v>
      </c>
      <c r="B17" s="3" t="s">
        <v>247</v>
      </c>
      <c r="C17" s="3" t="s">
        <v>206</v>
      </c>
      <c r="D17" s="4" t="s">
        <v>249</v>
      </c>
      <c r="E17" s="4" t="s">
        <v>229</v>
      </c>
      <c r="G17" s="3" t="s">
        <v>245</v>
      </c>
      <c r="H17" s="3" t="s">
        <v>186</v>
      </c>
      <c r="I17" s="3">
        <v>1790</v>
      </c>
      <c r="J17" s="3"/>
      <c r="K17" s="3"/>
      <c r="L17" s="3">
        <v>2500</v>
      </c>
      <c r="M17" s="3">
        <v>0</v>
      </c>
      <c r="N17" s="3">
        <v>0</v>
      </c>
      <c r="O17" s="3">
        <v>0</v>
      </c>
      <c r="P17" s="3">
        <v>1</v>
      </c>
      <c r="Q17" s="3"/>
      <c r="R17" s="3"/>
      <c r="S17" s="3"/>
      <c r="T17" s="3"/>
      <c r="U17" s="3">
        <v>30</v>
      </c>
      <c r="V17" s="3">
        <v>20</v>
      </c>
      <c r="W17" s="1"/>
      <c r="X17" s="1"/>
      <c r="Y17" s="1"/>
      <c r="Z17" s="6"/>
      <c r="AA17" s="6"/>
      <c r="AB17" s="1"/>
      <c r="AC17" s="1"/>
      <c r="AD17" s="1"/>
    </row>
    <row r="18" spans="1:30" s="4" customFormat="1" x14ac:dyDescent="0.4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1"/>
      <c r="X18" s="1"/>
      <c r="Y18" s="1"/>
      <c r="Z18" s="2"/>
      <c r="AA18" s="2"/>
      <c r="AB18" s="1"/>
      <c r="AC18" s="1"/>
      <c r="AD18" s="1"/>
    </row>
    <row r="19" spans="1:30" x14ac:dyDescent="0.4">
      <c r="A19" s="3" t="s">
        <v>253</v>
      </c>
      <c r="B19" s="3" t="s">
        <v>254</v>
      </c>
      <c r="C19" s="3" t="s">
        <v>206</v>
      </c>
      <c r="D19" s="4" t="s">
        <v>249</v>
      </c>
      <c r="E19" s="4" t="s">
        <v>229</v>
      </c>
      <c r="F19" s="4"/>
      <c r="G19" s="3" t="s">
        <v>252</v>
      </c>
      <c r="H19" s="3" t="s">
        <v>186</v>
      </c>
      <c r="I19" s="3">
        <v>1791</v>
      </c>
      <c r="L19" s="3">
        <v>2500</v>
      </c>
      <c r="M19" s="3">
        <v>0</v>
      </c>
      <c r="N19" s="3">
        <v>0</v>
      </c>
      <c r="O19" s="3">
        <v>0</v>
      </c>
      <c r="P19" s="3">
        <v>1</v>
      </c>
      <c r="U19" s="3">
        <v>30</v>
      </c>
      <c r="V19" s="3">
        <v>20</v>
      </c>
      <c r="Z19" s="6"/>
      <c r="AA19" s="6"/>
    </row>
    <row r="20" spans="1:30" x14ac:dyDescent="0.4">
      <c r="Z20" s="2"/>
      <c r="AA20" s="2"/>
    </row>
    <row r="21" spans="1:30" s="4" customFormat="1" x14ac:dyDescent="0.4">
      <c r="A21" s="3" t="s">
        <v>251</v>
      </c>
      <c r="B21" s="3" t="s">
        <v>255</v>
      </c>
      <c r="C21" s="3" t="s">
        <v>206</v>
      </c>
      <c r="D21" s="4" t="s">
        <v>256</v>
      </c>
      <c r="E21" s="4" t="s">
        <v>229</v>
      </c>
      <c r="G21" s="3" t="s">
        <v>250</v>
      </c>
      <c r="H21" s="3" t="s">
        <v>210</v>
      </c>
      <c r="I21" s="3">
        <v>1792</v>
      </c>
      <c r="J21" s="3"/>
      <c r="K21" s="3"/>
      <c r="L21" s="3">
        <v>2500</v>
      </c>
      <c r="M21" s="3">
        <v>0</v>
      </c>
      <c r="N21" s="3">
        <v>0</v>
      </c>
      <c r="O21" s="3">
        <v>0</v>
      </c>
      <c r="P21" s="3">
        <v>1</v>
      </c>
      <c r="Q21" s="3"/>
      <c r="R21" s="3"/>
      <c r="S21" s="3"/>
      <c r="T21" s="3"/>
      <c r="U21" s="3"/>
      <c r="V21" s="3"/>
      <c r="W21" s="1" t="s">
        <v>234</v>
      </c>
      <c r="X21" s="1" t="s">
        <v>257</v>
      </c>
      <c r="Y21" s="1" t="s">
        <v>258</v>
      </c>
      <c r="Z21" s="6" t="s">
        <v>259</v>
      </c>
      <c r="AA21" s="6" t="s">
        <v>260</v>
      </c>
      <c r="AB21" s="1" t="s">
        <v>261</v>
      </c>
      <c r="AC21" s="1" t="s">
        <v>262</v>
      </c>
      <c r="AD21" s="1" t="s">
        <v>263</v>
      </c>
    </row>
    <row r="22" spans="1:30" s="4" customFormat="1" x14ac:dyDescent="0.4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1">
        <v>1200</v>
      </c>
      <c r="X22" s="1">
        <v>18500</v>
      </c>
      <c r="Y22" s="1">
        <v>11800</v>
      </c>
      <c r="Z22" s="2">
        <v>1540</v>
      </c>
      <c r="AA22" s="2">
        <v>510</v>
      </c>
      <c r="AB22" s="1">
        <v>20</v>
      </c>
      <c r="AC22" s="1">
        <v>25</v>
      </c>
      <c r="AD22" s="1">
        <v>150</v>
      </c>
    </row>
    <row r="23" spans="1:30" s="4" customFormat="1" x14ac:dyDescent="0.4">
      <c r="A23" s="3" t="s">
        <v>268</v>
      </c>
      <c r="B23" s="3" t="s">
        <v>264</v>
      </c>
      <c r="C23" s="3" t="s">
        <v>206</v>
      </c>
      <c r="D23" s="4" t="s">
        <v>256</v>
      </c>
      <c r="E23" s="4" t="s">
        <v>229</v>
      </c>
      <c r="G23" s="3" t="s">
        <v>250</v>
      </c>
      <c r="H23" s="3" t="s">
        <v>210</v>
      </c>
      <c r="I23" s="3">
        <v>1793</v>
      </c>
      <c r="J23" s="3"/>
      <c r="K23" s="3"/>
      <c r="L23" s="3">
        <v>2500</v>
      </c>
      <c r="M23" s="3">
        <v>0</v>
      </c>
      <c r="N23" s="3">
        <v>0</v>
      </c>
      <c r="O23" s="3">
        <v>0</v>
      </c>
      <c r="P23" s="3">
        <v>1</v>
      </c>
      <c r="Q23" s="3"/>
      <c r="R23" s="3"/>
      <c r="S23" s="3"/>
      <c r="T23" s="3"/>
      <c r="U23" s="3"/>
      <c r="V23" s="3"/>
      <c r="W23" s="1" t="s">
        <v>234</v>
      </c>
      <c r="X23" s="1" t="s">
        <v>257</v>
      </c>
      <c r="Y23" s="1" t="s">
        <v>258</v>
      </c>
      <c r="Z23" s="6" t="s">
        <v>259</v>
      </c>
      <c r="AA23" s="6" t="s">
        <v>260</v>
      </c>
      <c r="AB23" s="1" t="s">
        <v>261</v>
      </c>
      <c r="AC23" s="1" t="s">
        <v>262</v>
      </c>
      <c r="AD23" s="1" t="s">
        <v>263</v>
      </c>
    </row>
    <row r="24" spans="1:30" s="4" customFormat="1" x14ac:dyDescent="0.4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1">
        <v>1120</v>
      </c>
      <c r="X24" s="1">
        <v>18500</v>
      </c>
      <c r="Y24" s="1">
        <v>11800</v>
      </c>
      <c r="Z24" s="2">
        <v>1540</v>
      </c>
      <c r="AA24" s="2">
        <v>510</v>
      </c>
      <c r="AB24" s="1">
        <v>20</v>
      </c>
      <c r="AC24" s="1">
        <v>25</v>
      </c>
      <c r="AD24" s="1">
        <v>150</v>
      </c>
    </row>
    <row r="25" spans="1:30" s="4" customFormat="1" x14ac:dyDescent="0.4">
      <c r="A25" s="3" t="s">
        <v>265</v>
      </c>
      <c r="B25" s="3" t="s">
        <v>266</v>
      </c>
      <c r="C25" s="3" t="s">
        <v>244</v>
      </c>
      <c r="E25" s="4" t="s">
        <v>229</v>
      </c>
      <c r="G25" s="3" t="s">
        <v>265</v>
      </c>
      <c r="H25" s="3" t="s">
        <v>210</v>
      </c>
      <c r="I25" s="3">
        <v>1794</v>
      </c>
      <c r="J25" s="3"/>
      <c r="K25" s="3"/>
      <c r="L25" s="3">
        <v>2400</v>
      </c>
      <c r="M25" s="3">
        <v>1</v>
      </c>
      <c r="N25" s="3">
        <v>0</v>
      </c>
      <c r="O25" s="3">
        <v>0</v>
      </c>
      <c r="P25" s="3">
        <v>1</v>
      </c>
      <c r="Q25" s="3"/>
      <c r="R25" s="3"/>
      <c r="S25" s="3"/>
      <c r="T25" s="3"/>
      <c r="U25" s="3"/>
      <c r="V25" s="3"/>
      <c r="W25" s="1"/>
      <c r="X25" s="1"/>
      <c r="Y25" s="1"/>
      <c r="Z25" s="6"/>
      <c r="AA25" s="6"/>
      <c r="AB25" s="1"/>
      <c r="AC25" s="1"/>
      <c r="AD25" s="1"/>
    </row>
    <row r="26" spans="1:30" s="4" customFormat="1" x14ac:dyDescent="0.4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1"/>
      <c r="X26" s="1"/>
      <c r="Y26" s="1"/>
      <c r="Z26" s="2"/>
      <c r="AA26" s="2"/>
      <c r="AB26" s="1"/>
      <c r="AC26" s="1"/>
      <c r="AD26" s="1"/>
    </row>
    <row r="27" spans="1:30" x14ac:dyDescent="0.4">
      <c r="D27" s="4"/>
      <c r="E27" s="4"/>
      <c r="F27" s="4"/>
      <c r="Z27" s="6"/>
      <c r="AA27" s="6"/>
    </row>
    <row r="28" spans="1:30" x14ac:dyDescent="0.4">
      <c r="Z28" s="2"/>
      <c r="AA28" s="2"/>
    </row>
    <row r="29" spans="1:30" s="4" customFormat="1" x14ac:dyDescent="0.4">
      <c r="A29" s="3"/>
      <c r="B29" s="3"/>
      <c r="C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1"/>
      <c r="X29" s="1"/>
      <c r="Y29" s="1"/>
      <c r="Z29" s="6"/>
      <c r="AA29" s="6"/>
      <c r="AB29" s="1"/>
      <c r="AC29" s="1"/>
      <c r="AD29" s="1"/>
    </row>
    <row r="30" spans="1:30" s="4" customFormat="1" x14ac:dyDescent="0.4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1"/>
      <c r="X30" s="1"/>
      <c r="Y30" s="1"/>
      <c r="Z30" s="2"/>
      <c r="AA30" s="2"/>
      <c r="AB30" s="1"/>
      <c r="AC30" s="1"/>
      <c r="AD30" s="1"/>
    </row>
    <row r="31" spans="1:30" x14ac:dyDescent="0.4">
      <c r="D31" s="4"/>
      <c r="E31" s="4"/>
      <c r="F31" s="4"/>
      <c r="Z31" s="6"/>
      <c r="AA31" s="6"/>
    </row>
    <row r="32" spans="1:30" x14ac:dyDescent="0.4">
      <c r="Z32" s="2"/>
      <c r="AA32" s="2"/>
    </row>
    <row r="33" spans="4:27" x14ac:dyDescent="0.4">
      <c r="D33" s="5"/>
      <c r="E33" s="5"/>
      <c r="F33" s="5"/>
      <c r="Z33" s="6"/>
      <c r="AA33" s="6"/>
    </row>
    <row r="34" spans="4:27" x14ac:dyDescent="0.4">
      <c r="D34" s="5"/>
      <c r="E34" s="5"/>
      <c r="F34" s="5"/>
      <c r="Z34" s="2"/>
      <c r="AA34" s="2"/>
    </row>
    <row r="35" spans="4:27" x14ac:dyDescent="0.4">
      <c r="D35" s="5"/>
      <c r="E35" s="5"/>
      <c r="F35" s="5"/>
      <c r="Z35" s="6"/>
      <c r="AA35" s="6"/>
    </row>
    <row r="36" spans="4:27" x14ac:dyDescent="0.4">
      <c r="D36" s="5"/>
      <c r="E36" s="5"/>
      <c r="F36" s="5"/>
      <c r="Z36" s="2"/>
      <c r="AA36" s="2"/>
    </row>
    <row r="37" spans="4:27" x14ac:dyDescent="0.4">
      <c r="D37" s="5"/>
      <c r="E37" s="5"/>
      <c r="F37" s="5"/>
      <c r="Z37" s="6"/>
      <c r="AA37" s="6"/>
    </row>
    <row r="38" spans="4:27" x14ac:dyDescent="0.4">
      <c r="D38" s="5"/>
      <c r="E38" s="5"/>
      <c r="F38" s="5"/>
      <c r="Z38" s="2"/>
      <c r="AA38" s="2"/>
    </row>
    <row r="39" spans="4:27" x14ac:dyDescent="0.4">
      <c r="D39" s="5"/>
      <c r="E39" s="5"/>
      <c r="F39" s="5"/>
    </row>
    <row r="40" spans="4:27" x14ac:dyDescent="0.4">
      <c r="D40" s="5"/>
      <c r="E40" s="5"/>
      <c r="F40" s="5"/>
    </row>
    <row r="41" spans="4:27" x14ac:dyDescent="0.4">
      <c r="E41" s="5"/>
    </row>
    <row r="42" spans="4:27" x14ac:dyDescent="0.4">
      <c r="E42" s="5"/>
    </row>
    <row r="43" spans="4:27" x14ac:dyDescent="0.4">
      <c r="E43" s="5"/>
    </row>
    <row r="44" spans="4:27" x14ac:dyDescent="0.4">
      <c r="E44" s="5"/>
    </row>
    <row r="45" spans="4:27" x14ac:dyDescent="0.4">
      <c r="E45" s="5"/>
    </row>
    <row r="46" spans="4:27" x14ac:dyDescent="0.4">
      <c r="E46" s="5"/>
      <c r="Z46" s="2"/>
      <c r="AA46" s="2"/>
    </row>
    <row r="47" spans="4:27" x14ac:dyDescent="0.4">
      <c r="E47" s="5"/>
      <c r="Z47" s="6"/>
      <c r="AA47" s="6"/>
    </row>
    <row r="48" spans="4:27" x14ac:dyDescent="0.4">
      <c r="E48" s="5"/>
      <c r="Z48" s="2"/>
      <c r="AA48" s="2"/>
    </row>
    <row r="49" spans="4:27" x14ac:dyDescent="0.4">
      <c r="E49" s="5"/>
      <c r="Z49" s="6"/>
      <c r="AA49" s="6"/>
    </row>
    <row r="50" spans="4:27" x14ac:dyDescent="0.4">
      <c r="E50" s="5"/>
      <c r="Z50" s="2"/>
      <c r="AA50" s="2"/>
    </row>
    <row r="51" spans="4:27" x14ac:dyDescent="0.4">
      <c r="E51" s="5"/>
      <c r="Z51" s="6"/>
      <c r="AA51" s="6"/>
    </row>
    <row r="52" spans="4:27" x14ac:dyDescent="0.4">
      <c r="E52" s="5"/>
      <c r="Z52" s="2"/>
      <c r="AA52" s="2"/>
    </row>
    <row r="53" spans="4:27" x14ac:dyDescent="0.4">
      <c r="E53" s="5"/>
      <c r="Z53" s="6"/>
      <c r="AA53" s="6"/>
    </row>
    <row r="54" spans="4:27" x14ac:dyDescent="0.4">
      <c r="E54" s="5"/>
      <c r="Z54" s="2"/>
      <c r="AA54" s="2"/>
    </row>
    <row r="55" spans="4:27" x14ac:dyDescent="0.4">
      <c r="E55" s="5"/>
      <c r="Z55" s="6"/>
      <c r="AA55" s="6"/>
    </row>
    <row r="56" spans="4:27" x14ac:dyDescent="0.4">
      <c r="E56" s="5"/>
      <c r="Z56" s="2"/>
      <c r="AA56" s="2"/>
    </row>
    <row r="57" spans="4:27" x14ac:dyDescent="0.4">
      <c r="E57" s="5"/>
      <c r="Z57" s="6"/>
      <c r="AA57" s="6"/>
    </row>
    <row r="58" spans="4:27" x14ac:dyDescent="0.4">
      <c r="E58" s="5"/>
      <c r="Z58" s="2"/>
      <c r="AA58" s="2"/>
    </row>
    <row r="59" spans="4:27" x14ac:dyDescent="0.4">
      <c r="E59" s="5"/>
      <c r="Z59" s="6"/>
      <c r="AA59" s="6"/>
    </row>
    <row r="60" spans="4:27" x14ac:dyDescent="0.4">
      <c r="E60" s="5"/>
      <c r="Z60" s="2"/>
      <c r="AA60" s="2"/>
    </row>
    <row r="61" spans="4:27" x14ac:dyDescent="0.4">
      <c r="E61" s="5"/>
      <c r="Z61" s="6"/>
      <c r="AA61" s="6"/>
    </row>
    <row r="62" spans="4:27" x14ac:dyDescent="0.4">
      <c r="E62" s="5"/>
      <c r="Z62" s="2"/>
      <c r="AA62" s="2"/>
    </row>
    <row r="63" spans="4:27" x14ac:dyDescent="0.4">
      <c r="D63" s="5"/>
      <c r="E63" s="5"/>
      <c r="F63" s="5"/>
      <c r="Z63" s="6"/>
      <c r="AA63" s="6"/>
    </row>
    <row r="64" spans="4:27" x14ac:dyDescent="0.4">
      <c r="D64" s="5"/>
      <c r="E64" s="5"/>
      <c r="F64" s="5"/>
      <c r="Z64" s="2"/>
      <c r="AA64" s="2"/>
    </row>
    <row r="65" spans="4:27" x14ac:dyDescent="0.4">
      <c r="D65" s="5"/>
      <c r="E65" s="5"/>
      <c r="F65" s="5"/>
      <c r="Z65" s="6"/>
      <c r="AA65" s="6"/>
    </row>
    <row r="66" spans="4:27" x14ac:dyDescent="0.4">
      <c r="D66" s="5"/>
      <c r="E66" s="5"/>
      <c r="F66" s="5"/>
      <c r="Z66" s="2"/>
      <c r="AA66" s="2"/>
    </row>
    <row r="67" spans="4:27" x14ac:dyDescent="0.4">
      <c r="D67" s="5"/>
      <c r="E67" s="5"/>
      <c r="F67" s="5"/>
      <c r="Z67" s="6"/>
      <c r="AA67" s="6"/>
    </row>
    <row r="68" spans="4:27" x14ac:dyDescent="0.4">
      <c r="D68" s="5"/>
      <c r="E68" s="5"/>
      <c r="F68" s="5"/>
      <c r="Z68" s="2"/>
      <c r="AA68" s="2"/>
    </row>
    <row r="69" spans="4:27" x14ac:dyDescent="0.4">
      <c r="D69" s="5"/>
      <c r="E69" s="5"/>
      <c r="F69" s="5"/>
    </row>
    <row r="70" spans="4:27" x14ac:dyDescent="0.4">
      <c r="D70" s="5"/>
      <c r="E70" s="5"/>
      <c r="F70" s="5"/>
    </row>
    <row r="71" spans="4:27" x14ac:dyDescent="0.4">
      <c r="E71" s="5"/>
    </row>
    <row r="72" spans="4:27" x14ac:dyDescent="0.4">
      <c r="E72" s="5"/>
    </row>
    <row r="73" spans="4:27" x14ac:dyDescent="0.4">
      <c r="E73" s="5"/>
    </row>
    <row r="74" spans="4:27" x14ac:dyDescent="0.4">
      <c r="E74" s="5"/>
    </row>
    <row r="75" spans="4:27" x14ac:dyDescent="0.4">
      <c r="E75" s="5"/>
    </row>
    <row r="76" spans="4:27" x14ac:dyDescent="0.4">
      <c r="E76" s="5"/>
      <c r="Z76" s="2"/>
      <c r="AA76" s="2"/>
    </row>
    <row r="77" spans="4:27" x14ac:dyDescent="0.4">
      <c r="E77" s="5"/>
      <c r="Z77" s="6"/>
      <c r="AA77" s="6"/>
    </row>
    <row r="78" spans="4:27" x14ac:dyDescent="0.4">
      <c r="E78" s="5"/>
      <c r="Z78" s="2"/>
      <c r="AA78" s="2"/>
    </row>
    <row r="79" spans="4:27" x14ac:dyDescent="0.4">
      <c r="E79" s="5"/>
      <c r="Z79" s="6"/>
      <c r="AA79" s="6"/>
    </row>
    <row r="80" spans="4:27" x14ac:dyDescent="0.4">
      <c r="E80" s="5"/>
      <c r="Z80" s="2"/>
      <c r="AA80" s="2"/>
    </row>
    <row r="81" spans="5:27" x14ac:dyDescent="0.4">
      <c r="E81" s="5"/>
      <c r="Z81" s="6"/>
      <c r="AA81" s="6"/>
    </row>
    <row r="82" spans="5:27" x14ac:dyDescent="0.4">
      <c r="E82" s="5"/>
      <c r="Z82" s="2"/>
      <c r="AA82" s="2"/>
    </row>
    <row r="83" spans="5:27" x14ac:dyDescent="0.4">
      <c r="E83" s="5"/>
      <c r="Z83" s="6"/>
      <c r="AA83" s="6"/>
    </row>
    <row r="84" spans="5:27" x14ac:dyDescent="0.4">
      <c r="E84" s="5"/>
      <c r="Z84" s="2"/>
      <c r="AA84" s="2"/>
    </row>
    <row r="85" spans="5:27" x14ac:dyDescent="0.4">
      <c r="E85" s="5"/>
      <c r="Z85" s="6"/>
      <c r="AA85" s="6"/>
    </row>
    <row r="86" spans="5:27" x14ac:dyDescent="0.4">
      <c r="E86" s="5"/>
      <c r="Z86" s="2"/>
      <c r="AA86" s="2"/>
    </row>
    <row r="87" spans="5:27" x14ac:dyDescent="0.4">
      <c r="E87" s="5"/>
      <c r="Z87" s="6"/>
      <c r="AA87" s="6"/>
    </row>
    <row r="88" spans="5:27" x14ac:dyDescent="0.4">
      <c r="E88" s="5"/>
      <c r="Z88" s="2"/>
      <c r="AA88" s="2"/>
    </row>
    <row r="89" spans="5:27" x14ac:dyDescent="0.4">
      <c r="E89" s="5"/>
      <c r="Z89" s="6"/>
      <c r="AA89" s="6"/>
    </row>
    <row r="90" spans="5:27" x14ac:dyDescent="0.4">
      <c r="E90" s="5"/>
      <c r="Z90" s="2"/>
      <c r="AA90" s="2"/>
    </row>
    <row r="91" spans="5:27" x14ac:dyDescent="0.4">
      <c r="E91" s="5"/>
      <c r="Z91" s="6"/>
      <c r="AA91" s="6"/>
    </row>
    <row r="92" spans="5:27" x14ac:dyDescent="0.4">
      <c r="E92" s="5"/>
      <c r="Z92" s="2"/>
      <c r="AA92" s="2"/>
    </row>
    <row r="93" spans="5:27" x14ac:dyDescent="0.4">
      <c r="Z93" s="6"/>
      <c r="AA93" s="6"/>
    </row>
  </sheetData>
  <phoneticPr fontId="1" type="noConversion"/>
  <conditionalFormatting sqref="A3:XFD1000">
    <cfRule type="expression" dxfId="6" priority="194">
      <formula>MOD(ROW(A4),2)=0</formula>
    </cfRule>
    <cfRule type="expression" dxfId="5" priority="195">
      <formula>MOD(ROW(A4),4)&lt;2</formula>
    </cfRule>
    <cfRule type="expression" dxfId="4" priority="198">
      <formula>MOD(ROW(A6),4)&lt;2</formula>
    </cfRule>
  </conditionalFormatting>
  <conditionalFormatting sqref="A3:V1000">
    <cfRule type="expression" dxfId="3" priority="191">
      <formula>AND(ISBLANK(A3)=FALSE,MOD(ROW(),2)=0)</formula>
    </cfRule>
  </conditionalFormatting>
  <dataValidations count="2">
    <dataValidation type="list" allowBlank="1" showInputMessage="1" showErrorMessage="1" sqref="C4 C30 C20 C22 C26 C28 C32:C1048576 C14 C16 C18 C6 C8 C10 C12 C24" xr:uid="{6E12D6B3-CB1D-4754-8CC7-CF1BA94D1B96}">
      <formula1>"ability_lua,ability_item"</formula1>
    </dataValidation>
    <dataValidation type="list" allowBlank="1" showInputMessage="1" showErrorMessage="1" sqref="C3 C21 C25 C27 C29 C31 C13 C15 C17 C19 C5 C7 C9 C11 C23" xr:uid="{0ACC8C52-CDBD-406F-A3AB-DEFD2261523B}">
      <formula1>"ability_lua,item_lua,item_datadriven"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4" sqref="E4"/>
    </sheetView>
  </sheetViews>
  <sheetFormatPr defaultColWidth="9" defaultRowHeight="13.9" x14ac:dyDescent="0.4"/>
  <cols>
    <col min="1" max="1" width="9" style="8"/>
    <col min="2" max="2" width="11.3984375" style="8" bestFit="1" customWidth="1"/>
    <col min="3" max="3" width="15.3984375" style="8" customWidth="1"/>
    <col min="4" max="4" width="15.1328125" style="9" bestFit="1" customWidth="1"/>
    <col min="5" max="5" width="51" style="9" bestFit="1" customWidth="1"/>
    <col min="6" max="6" width="34.86328125" style="9" customWidth="1"/>
    <col min="7" max="8" width="28.59765625" style="8" customWidth="1"/>
    <col min="9" max="9" width="26.3984375" style="9" customWidth="1"/>
    <col min="10" max="10" width="16" style="9" customWidth="1"/>
    <col min="11" max="11" width="9" style="9"/>
    <col min="12" max="12" width="20.265625" style="8" customWidth="1"/>
    <col min="13" max="13" width="15.265625" style="8" customWidth="1"/>
    <col min="14" max="14" width="23" style="9" customWidth="1"/>
    <col min="15" max="16384" width="9" style="9"/>
  </cols>
  <sheetData>
    <row r="1" spans="1:10" s="7" customFormat="1" x14ac:dyDescent="0.4">
      <c r="A1" s="7" t="s">
        <v>7</v>
      </c>
      <c r="B1" s="7" t="s">
        <v>2</v>
      </c>
      <c r="C1" s="7" t="s">
        <v>151</v>
      </c>
      <c r="D1" s="7" t="s">
        <v>4</v>
      </c>
      <c r="E1" s="7" t="s">
        <v>1</v>
      </c>
      <c r="F1" s="7" t="s">
        <v>158</v>
      </c>
      <c r="I1" s="7" t="s">
        <v>147</v>
      </c>
      <c r="J1" s="7" t="s">
        <v>148</v>
      </c>
    </row>
    <row r="2" spans="1:10" x14ac:dyDescent="0.4">
      <c r="A2" s="8" t="s">
        <v>6</v>
      </c>
      <c r="B2" s="8" t="s">
        <v>3</v>
      </c>
      <c r="C2" s="8" t="s">
        <v>152</v>
      </c>
      <c r="D2" s="9" t="s">
        <v>104</v>
      </c>
      <c r="E2" s="9" t="s">
        <v>86</v>
      </c>
      <c r="F2" s="9" t="s">
        <v>160</v>
      </c>
      <c r="I2" s="9" t="str">
        <f>"abilities/boss/"&amp;Sheet1!A3</f>
        <v>abilities/boss/item_ring_shop</v>
      </c>
      <c r="J2" s="9" t="s">
        <v>149</v>
      </c>
    </row>
    <row r="3" spans="1:10" x14ac:dyDescent="0.4">
      <c r="A3" s="8" t="s">
        <v>150</v>
      </c>
      <c r="B3" s="8" t="s">
        <v>146</v>
      </c>
      <c r="C3" s="8" t="s">
        <v>153</v>
      </c>
      <c r="D3" s="9" t="s">
        <v>108</v>
      </c>
      <c r="E3" s="9" t="s">
        <v>87</v>
      </c>
      <c r="F3" s="9" t="s">
        <v>161</v>
      </c>
      <c r="I3" s="9" t="s">
        <v>156</v>
      </c>
    </row>
    <row r="4" spans="1:10" x14ac:dyDescent="0.4">
      <c r="A4" s="8" t="s">
        <v>8</v>
      </c>
      <c r="B4" s="8" t="s">
        <v>9</v>
      </c>
      <c r="C4" s="8" t="s">
        <v>154</v>
      </c>
      <c r="D4" s="9" t="s">
        <v>109</v>
      </c>
      <c r="E4" s="9" t="s">
        <v>0</v>
      </c>
      <c r="F4" s="9" t="s">
        <v>162</v>
      </c>
    </row>
    <row r="5" spans="1:10" x14ac:dyDescent="0.4">
      <c r="A5" s="8" t="s">
        <v>43</v>
      </c>
      <c r="B5" s="8" t="s">
        <v>10</v>
      </c>
      <c r="C5" s="8" t="s">
        <v>155</v>
      </c>
      <c r="D5" s="9" t="s">
        <v>110</v>
      </c>
      <c r="E5" s="9" t="s">
        <v>88</v>
      </c>
      <c r="F5" s="9" t="s">
        <v>159</v>
      </c>
    </row>
    <row r="6" spans="1:10" x14ac:dyDescent="0.4">
      <c r="A6" s="8" t="s">
        <v>44</v>
      </c>
      <c r="B6" s="8" t="s">
        <v>11</v>
      </c>
      <c r="D6" s="9" t="s">
        <v>111</v>
      </c>
      <c r="E6" s="9" t="s">
        <v>5</v>
      </c>
      <c r="F6" s="7" t="s">
        <v>174</v>
      </c>
    </row>
    <row r="7" spans="1:10" x14ac:dyDescent="0.4">
      <c r="A7" s="8" t="s">
        <v>45</v>
      </c>
      <c r="B7" s="8" t="s">
        <v>12</v>
      </c>
      <c r="D7" s="9" t="s">
        <v>112</v>
      </c>
      <c r="E7" s="9" t="s">
        <v>89</v>
      </c>
      <c r="F7" s="8" t="s">
        <v>178</v>
      </c>
    </row>
    <row r="8" spans="1:10" x14ac:dyDescent="0.4">
      <c r="A8" s="8" t="s">
        <v>46</v>
      </c>
      <c r="B8" s="8" t="s">
        <v>13</v>
      </c>
      <c r="D8" s="9" t="s">
        <v>113</v>
      </c>
      <c r="E8" s="9" t="s">
        <v>90</v>
      </c>
      <c r="F8" s="8" t="s">
        <v>179</v>
      </c>
    </row>
    <row r="9" spans="1:10" x14ac:dyDescent="0.4">
      <c r="A9" s="8" t="s">
        <v>47</v>
      </c>
      <c r="B9" s="8" t="s">
        <v>14</v>
      </c>
      <c r="D9" s="9" t="s">
        <v>114</v>
      </c>
      <c r="E9" s="9" t="s">
        <v>91</v>
      </c>
      <c r="F9" s="8" t="s">
        <v>176</v>
      </c>
    </row>
    <row r="10" spans="1:10" x14ac:dyDescent="0.4">
      <c r="A10" s="8" t="s">
        <v>48</v>
      </c>
      <c r="B10" s="8" t="s">
        <v>15</v>
      </c>
      <c r="D10" s="9" t="s">
        <v>115</v>
      </c>
      <c r="E10" s="9" t="s">
        <v>157</v>
      </c>
      <c r="F10" s="8" t="s">
        <v>180</v>
      </c>
    </row>
    <row r="11" spans="1:10" x14ac:dyDescent="0.4">
      <c r="A11" s="8" t="s">
        <v>49</v>
      </c>
      <c r="B11" s="8" t="s">
        <v>16</v>
      </c>
      <c r="D11" s="9" t="s">
        <v>116</v>
      </c>
      <c r="E11" s="9" t="s">
        <v>92</v>
      </c>
      <c r="F11" s="8" t="s">
        <v>177</v>
      </c>
    </row>
    <row r="12" spans="1:10" x14ac:dyDescent="0.4">
      <c r="A12" s="8" t="s">
        <v>50</v>
      </c>
      <c r="B12" s="8" t="s">
        <v>17</v>
      </c>
      <c r="D12" s="9" t="s">
        <v>117</v>
      </c>
      <c r="E12" s="9" t="s">
        <v>93</v>
      </c>
      <c r="F12" s="8" t="s">
        <v>181</v>
      </c>
    </row>
    <row r="13" spans="1:10" x14ac:dyDescent="0.4">
      <c r="A13" s="8" t="s">
        <v>51</v>
      </c>
      <c r="B13" s="8" t="s">
        <v>18</v>
      </c>
      <c r="D13" s="9" t="s">
        <v>138</v>
      </c>
      <c r="E13" s="9" t="s">
        <v>137</v>
      </c>
      <c r="F13" s="7" t="s">
        <v>182</v>
      </c>
    </row>
    <row r="14" spans="1:10" x14ac:dyDescent="0.4">
      <c r="A14" s="8" t="s">
        <v>52</v>
      </c>
      <c r="B14" s="8" t="s">
        <v>19</v>
      </c>
      <c r="D14" s="9" t="s">
        <v>118</v>
      </c>
      <c r="E14" s="9" t="s">
        <v>192</v>
      </c>
      <c r="F14" s="8" t="s">
        <v>183</v>
      </c>
    </row>
    <row r="15" spans="1:10" x14ac:dyDescent="0.4">
      <c r="A15" s="8" t="s">
        <v>53</v>
      </c>
      <c r="B15" s="8" t="s">
        <v>21</v>
      </c>
      <c r="D15" s="9" t="s">
        <v>119</v>
      </c>
      <c r="E15" s="9" t="s">
        <v>94</v>
      </c>
      <c r="F15" s="8" t="s">
        <v>184</v>
      </c>
    </row>
    <row r="16" spans="1:10" x14ac:dyDescent="0.4">
      <c r="A16" s="8" t="s">
        <v>54</v>
      </c>
      <c r="B16" s="8" t="s">
        <v>69</v>
      </c>
      <c r="D16" s="9" t="s">
        <v>120</v>
      </c>
      <c r="E16" s="9" t="s">
        <v>139</v>
      </c>
    </row>
    <row r="17" spans="1:5" x14ac:dyDescent="0.4">
      <c r="A17" s="8" t="s">
        <v>55</v>
      </c>
      <c r="B17" s="8" t="s">
        <v>22</v>
      </c>
      <c r="D17" s="9" t="s">
        <v>121</v>
      </c>
      <c r="E17" s="9" t="s">
        <v>140</v>
      </c>
    </row>
    <row r="18" spans="1:5" x14ac:dyDescent="0.4">
      <c r="A18" s="8" t="s">
        <v>56</v>
      </c>
      <c r="B18" s="8" t="s">
        <v>23</v>
      </c>
      <c r="D18" s="9" t="s">
        <v>122</v>
      </c>
      <c r="E18" s="9" t="s">
        <v>141</v>
      </c>
    </row>
    <row r="19" spans="1:5" x14ac:dyDescent="0.4">
      <c r="A19" s="8" t="s">
        <v>57</v>
      </c>
      <c r="B19" s="8" t="s">
        <v>24</v>
      </c>
      <c r="D19" s="9" t="s">
        <v>123</v>
      </c>
      <c r="E19" s="9" t="s">
        <v>95</v>
      </c>
    </row>
    <row r="20" spans="1:5" x14ac:dyDescent="0.4">
      <c r="A20" s="8" t="s">
        <v>58</v>
      </c>
      <c r="B20" s="8" t="s">
        <v>25</v>
      </c>
      <c r="D20" s="9" t="s">
        <v>124</v>
      </c>
      <c r="E20" s="9" t="s">
        <v>96</v>
      </c>
    </row>
    <row r="21" spans="1:5" x14ac:dyDescent="0.4">
      <c r="A21" s="8" t="s">
        <v>59</v>
      </c>
      <c r="B21" s="8" t="s">
        <v>26</v>
      </c>
      <c r="D21" s="9" t="s">
        <v>125</v>
      </c>
      <c r="E21" s="9" t="s">
        <v>105</v>
      </c>
    </row>
    <row r="22" spans="1:5" x14ac:dyDescent="0.4">
      <c r="A22" s="8" t="s">
        <v>60</v>
      </c>
      <c r="B22" s="8" t="s">
        <v>27</v>
      </c>
      <c r="D22" s="9" t="s">
        <v>126</v>
      </c>
      <c r="E22" s="9" t="s">
        <v>142</v>
      </c>
    </row>
    <row r="23" spans="1:5" x14ac:dyDescent="0.4">
      <c r="A23" s="8" t="s">
        <v>61</v>
      </c>
      <c r="B23" s="8" t="s">
        <v>28</v>
      </c>
      <c r="D23" s="9" t="s">
        <v>127</v>
      </c>
      <c r="E23" s="9" t="s">
        <v>143</v>
      </c>
    </row>
    <row r="24" spans="1:5" x14ac:dyDescent="0.4">
      <c r="A24" s="8" t="s">
        <v>62</v>
      </c>
      <c r="B24" s="8" t="s">
        <v>29</v>
      </c>
      <c r="D24" s="9" t="s">
        <v>144</v>
      </c>
      <c r="E24" s="9" t="s">
        <v>106</v>
      </c>
    </row>
    <row r="25" spans="1:5" x14ac:dyDescent="0.4">
      <c r="A25" s="8" t="s">
        <v>63</v>
      </c>
      <c r="B25" s="8" t="s">
        <v>30</v>
      </c>
      <c r="D25" s="9" t="s">
        <v>128</v>
      </c>
      <c r="E25" s="9" t="s">
        <v>97</v>
      </c>
    </row>
    <row r="26" spans="1:5" x14ac:dyDescent="0.4">
      <c r="A26" s="8" t="s">
        <v>64</v>
      </c>
      <c r="B26" s="8" t="s">
        <v>31</v>
      </c>
      <c r="D26" s="9" t="s">
        <v>129</v>
      </c>
      <c r="E26" s="9" t="s">
        <v>145</v>
      </c>
    </row>
    <row r="27" spans="1:5" x14ac:dyDescent="0.4">
      <c r="A27" s="8" t="s">
        <v>65</v>
      </c>
      <c r="B27" s="8" t="s">
        <v>20</v>
      </c>
      <c r="D27" s="9" t="s">
        <v>130</v>
      </c>
      <c r="E27" s="9" t="s">
        <v>107</v>
      </c>
    </row>
    <row r="28" spans="1:5" x14ac:dyDescent="0.4">
      <c r="A28" s="8" t="s">
        <v>66</v>
      </c>
      <c r="B28" s="8" t="s">
        <v>32</v>
      </c>
      <c r="D28" s="9" t="s">
        <v>131</v>
      </c>
      <c r="E28" s="9" t="s">
        <v>98</v>
      </c>
    </row>
    <row r="29" spans="1:5" x14ac:dyDescent="0.4">
      <c r="A29" s="8" t="s">
        <v>67</v>
      </c>
      <c r="B29" s="8" t="s">
        <v>33</v>
      </c>
      <c r="D29" s="9" t="s">
        <v>132</v>
      </c>
      <c r="E29" s="9" t="s">
        <v>99</v>
      </c>
    </row>
    <row r="30" spans="1:5" x14ac:dyDescent="0.4">
      <c r="A30" s="8" t="s">
        <v>73</v>
      </c>
      <c r="B30" s="8" t="s">
        <v>68</v>
      </c>
      <c r="D30" s="9" t="s">
        <v>133</v>
      </c>
      <c r="E30" s="9" t="s">
        <v>100</v>
      </c>
    </row>
    <row r="31" spans="1:5" x14ac:dyDescent="0.4">
      <c r="A31" s="8" t="s">
        <v>74</v>
      </c>
      <c r="B31" s="8" t="s">
        <v>70</v>
      </c>
      <c r="D31" s="9" t="s">
        <v>134</v>
      </c>
      <c r="E31" s="9" t="s">
        <v>101</v>
      </c>
    </row>
    <row r="32" spans="1:5" x14ac:dyDescent="0.4">
      <c r="A32" s="8" t="s">
        <v>75</v>
      </c>
      <c r="B32" s="8" t="s">
        <v>71</v>
      </c>
      <c r="D32" s="9" t="s">
        <v>135</v>
      </c>
      <c r="E32" s="9" t="s">
        <v>102</v>
      </c>
    </row>
    <row r="33" spans="1:5" x14ac:dyDescent="0.4">
      <c r="A33" s="8" t="s">
        <v>76</v>
      </c>
      <c r="B33" s="8" t="s">
        <v>72</v>
      </c>
      <c r="D33" s="9" t="s">
        <v>136</v>
      </c>
      <c r="E33" s="9" t="s">
        <v>103</v>
      </c>
    </row>
    <row r="34" spans="1:5" x14ac:dyDescent="0.4">
      <c r="A34" s="8" t="s">
        <v>77</v>
      </c>
      <c r="B34" s="8" t="s">
        <v>34</v>
      </c>
    </row>
    <row r="35" spans="1:5" x14ac:dyDescent="0.4">
      <c r="A35" s="8" t="s">
        <v>78</v>
      </c>
      <c r="B35" s="8" t="s">
        <v>35</v>
      </c>
    </row>
    <row r="36" spans="1:5" x14ac:dyDescent="0.4">
      <c r="A36" s="8" t="s">
        <v>79</v>
      </c>
      <c r="B36" s="8" t="s">
        <v>36</v>
      </c>
    </row>
    <row r="37" spans="1:5" x14ac:dyDescent="0.4">
      <c r="A37" s="8" t="s">
        <v>80</v>
      </c>
      <c r="B37" s="8" t="s">
        <v>37</v>
      </c>
    </row>
    <row r="38" spans="1:5" x14ac:dyDescent="0.4">
      <c r="A38" s="8" t="s">
        <v>81</v>
      </c>
      <c r="B38" s="8" t="s">
        <v>38</v>
      </c>
    </row>
    <row r="39" spans="1:5" x14ac:dyDescent="0.4">
      <c r="A39" s="8" t="s">
        <v>82</v>
      </c>
      <c r="B39" s="8" t="s">
        <v>39</v>
      </c>
    </row>
    <row r="40" spans="1:5" x14ac:dyDescent="0.4">
      <c r="A40" s="8" t="s">
        <v>83</v>
      </c>
      <c r="B40" s="8" t="s">
        <v>40</v>
      </c>
    </row>
    <row r="41" spans="1:5" x14ac:dyDescent="0.4">
      <c r="A41" s="8" t="s">
        <v>84</v>
      </c>
      <c r="B41" s="8" t="s">
        <v>41</v>
      </c>
    </row>
    <row r="42" spans="1:5" x14ac:dyDescent="0.4">
      <c r="A42" s="8" t="s">
        <v>85</v>
      </c>
      <c r="B42" s="8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2020-05-25T16:01:21Z</dcterms:modified>
</cp:coreProperties>
</file>