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single\"/>
    </mc:Choice>
  </mc:AlternateContent>
  <xr:revisionPtr revIDLastSave="0" documentId="13_ncr:1_{04BB6A22-5399-498B-8EE6-4992BB213098}" xr6:coauthVersionLast="45" xr6:coauthVersionMax="45" xr10:uidLastSave="{00000000-0000-0000-0000-000000000000}"/>
  <bookViews>
    <workbookView xWindow="16395" yWindow="3030" windowWidth="16710" windowHeight="13275" xr2:uid="{00000000-000D-0000-FFFF-FFFF00000000}"/>
  </bookViews>
  <sheets>
    <sheet name="Sheet1" sheetId="1" r:id="rId1"/>
    <sheet name="Sheet2" sheetId="2" r:id="rId2"/>
    <sheet name="backup_Sheet1" sheetId="6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1" l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3" i="1"/>
  <c r="D18" i="6"/>
  <c r="C18" i="6"/>
  <c r="D17" i="6"/>
  <c r="C17" i="6"/>
  <c r="D16" i="6"/>
  <c r="C16" i="6"/>
  <c r="D15" i="6"/>
  <c r="C15" i="6"/>
  <c r="D14" i="6"/>
  <c r="C14" i="6"/>
  <c r="D13" i="6"/>
  <c r="C13" i="6"/>
  <c r="D12" i="6"/>
  <c r="C12" i="6"/>
  <c r="D11" i="6"/>
  <c r="C11" i="6"/>
  <c r="D10" i="6"/>
  <c r="C10" i="6"/>
  <c r="D9" i="6"/>
  <c r="C9" i="6"/>
  <c r="D8" i="6"/>
  <c r="C8" i="6"/>
  <c r="D7" i="6"/>
  <c r="C7" i="6"/>
  <c r="D6" i="6"/>
  <c r="C6" i="6"/>
  <c r="D5" i="6"/>
  <c r="C5" i="6"/>
  <c r="D4" i="6"/>
  <c r="C4" i="6"/>
  <c r="D3" i="6"/>
  <c r="C3" i="6"/>
  <c r="E5" i="1" l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4" i="1"/>
  <c r="E3" i="1"/>
  <c r="D4" i="1" l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3" i="1"/>
</calcChain>
</file>

<file path=xl/sharedStrings.xml><?xml version="1.0" encoding="utf-8"?>
<sst xmlns="http://schemas.openxmlformats.org/spreadsheetml/2006/main" count="910" uniqueCount="250">
  <si>
    <t>主键</t>
    <phoneticPr fontId="1" type="noConversion"/>
  </si>
  <si>
    <t>UnitName</t>
    <phoneticPr fontId="1" type="noConversion"/>
  </si>
  <si>
    <t>名字</t>
    <phoneticPr fontId="1" type="noConversion"/>
  </si>
  <si>
    <t>Name</t>
    <phoneticPr fontId="1" type="noConversion"/>
  </si>
  <si>
    <t>移动速度</t>
    <phoneticPr fontId="1" type="noConversion"/>
  </si>
  <si>
    <t>MovementSpeed</t>
    <phoneticPr fontId="1" type="noConversion"/>
  </si>
  <si>
    <t>转身速率</t>
    <phoneticPr fontId="1" type="noConversion"/>
  </si>
  <si>
    <t>基础生命</t>
    <phoneticPr fontId="1" type="noConversion"/>
  </si>
  <si>
    <t>StatusHealth</t>
    <phoneticPr fontId="1" type="noConversion"/>
  </si>
  <si>
    <t>StatusHealthRegen</t>
    <phoneticPr fontId="1" type="noConversion"/>
  </si>
  <si>
    <t>基础魔法</t>
    <phoneticPr fontId="1" type="noConversion"/>
  </si>
  <si>
    <t>StatusMana</t>
    <phoneticPr fontId="1" type="noConversion"/>
  </si>
  <si>
    <t>StatusManaRegen</t>
    <phoneticPr fontId="1" type="noConversion"/>
  </si>
  <si>
    <t>最小攻击力</t>
    <phoneticPr fontId="1" type="noConversion"/>
  </si>
  <si>
    <t>AttackDamageMin</t>
    <phoneticPr fontId="1" type="noConversion"/>
  </si>
  <si>
    <t>最大攻击力</t>
    <phoneticPr fontId="1" type="noConversion"/>
  </si>
  <si>
    <t>AttackDamageMax</t>
    <phoneticPr fontId="1" type="noConversion"/>
  </si>
  <si>
    <t>攻击间隔</t>
    <phoneticPr fontId="1" type="noConversion"/>
  </si>
  <si>
    <t>AttackRate</t>
    <phoneticPr fontId="1" type="noConversion"/>
  </si>
  <si>
    <t>投射物特效</t>
    <phoneticPr fontId="1" type="noConversion"/>
  </si>
  <si>
    <t>ProjectileModel</t>
    <phoneticPr fontId="1" type="noConversion"/>
  </si>
  <si>
    <t>投射物速率</t>
    <phoneticPr fontId="1" type="noConversion"/>
  </si>
  <si>
    <t>ProjectileSpeed</t>
    <phoneticPr fontId="1" type="noConversion"/>
  </si>
  <si>
    <t>ArmorPhysical</t>
    <phoneticPr fontId="1" type="noConversion"/>
  </si>
  <si>
    <t>MagicalResistance</t>
    <phoneticPr fontId="1" type="noConversion"/>
  </si>
  <si>
    <t>单位标签</t>
    <phoneticPr fontId="1" type="noConversion"/>
  </si>
  <si>
    <t>UnitLabel</t>
    <phoneticPr fontId="1" type="noConversion"/>
  </si>
  <si>
    <t>技能1</t>
    <phoneticPr fontId="1" type="noConversion"/>
  </si>
  <si>
    <t>Ability1</t>
    <phoneticPr fontId="1" type="noConversion"/>
  </si>
  <si>
    <t>技能2</t>
    <phoneticPr fontId="1" type="noConversion"/>
  </si>
  <si>
    <t>Ability2</t>
    <phoneticPr fontId="1" type="noConversion"/>
  </si>
  <si>
    <t>技能3</t>
    <phoneticPr fontId="1" type="noConversion"/>
  </si>
  <si>
    <t>Ability3</t>
    <phoneticPr fontId="1" type="noConversion"/>
  </si>
  <si>
    <t>技能4</t>
    <phoneticPr fontId="1" type="noConversion"/>
  </si>
  <si>
    <t>Ability4</t>
    <phoneticPr fontId="1" type="noConversion"/>
  </si>
  <si>
    <t>技能5</t>
    <phoneticPr fontId="1" type="noConversion"/>
  </si>
  <si>
    <t>Ability5</t>
    <phoneticPr fontId="1" type="noConversion"/>
  </si>
  <si>
    <t>技能6</t>
    <phoneticPr fontId="1" type="noConversion"/>
  </si>
  <si>
    <t>Ability6</t>
    <phoneticPr fontId="1" type="noConversion"/>
  </si>
  <si>
    <t>技能7</t>
    <phoneticPr fontId="1" type="noConversion"/>
  </si>
  <si>
    <t>Ability7</t>
    <phoneticPr fontId="1" type="noConversion"/>
  </si>
  <si>
    <t>技能8</t>
    <phoneticPr fontId="1" type="noConversion"/>
  </si>
  <si>
    <t>Ability8</t>
    <phoneticPr fontId="1" type="noConversion"/>
  </si>
  <si>
    <t>技能9</t>
    <phoneticPr fontId="1" type="noConversion"/>
  </si>
  <si>
    <t>Ability9</t>
    <phoneticPr fontId="1" type="noConversion"/>
  </si>
  <si>
    <t>技能10</t>
    <phoneticPr fontId="1" type="noConversion"/>
  </si>
  <si>
    <t>Ability10</t>
    <phoneticPr fontId="1" type="noConversion"/>
  </si>
  <si>
    <t>技能11</t>
    <phoneticPr fontId="1" type="noConversion"/>
  </si>
  <si>
    <t>Ability11</t>
    <phoneticPr fontId="1" type="noConversion"/>
  </si>
  <si>
    <t>技能12</t>
    <phoneticPr fontId="1" type="noConversion"/>
  </si>
  <si>
    <t>Ability12</t>
    <phoneticPr fontId="1" type="noConversion"/>
  </si>
  <si>
    <t>技能13</t>
    <phoneticPr fontId="1" type="noConversion"/>
  </si>
  <si>
    <t>Ability13</t>
    <phoneticPr fontId="1" type="noConversion"/>
  </si>
  <si>
    <t>技能14</t>
    <phoneticPr fontId="1" type="noConversion"/>
  </si>
  <si>
    <t>Ability14</t>
    <phoneticPr fontId="1" type="noConversion"/>
  </si>
  <si>
    <t>技能15</t>
    <phoneticPr fontId="1" type="noConversion"/>
  </si>
  <si>
    <t>Ability15</t>
    <phoneticPr fontId="1" type="noConversion"/>
  </si>
  <si>
    <t>技能16</t>
    <phoneticPr fontId="1" type="noConversion"/>
  </si>
  <si>
    <t>Ability16</t>
    <phoneticPr fontId="1" type="noConversion"/>
  </si>
  <si>
    <t>基础攻击速度</t>
    <phoneticPr fontId="1" type="noConversion"/>
  </si>
  <si>
    <t>BaseAttackSpeed</t>
    <phoneticPr fontId="1" type="noConversion"/>
  </si>
  <si>
    <t>npc_dota_hero_omniknight</t>
    <phoneticPr fontId="1" type="noConversion"/>
  </si>
  <si>
    <t>机械师</t>
    <phoneticPr fontId="1" type="noConversion"/>
  </si>
  <si>
    <t>override_hero</t>
    <phoneticPr fontId="1" type="noConversion"/>
  </si>
  <si>
    <t>重写英雄</t>
    <phoneticPr fontId="1" type="noConversion"/>
  </si>
  <si>
    <t>AttributePrimary</t>
  </si>
  <si>
    <t>AttributePrimary</t>
    <phoneticPr fontId="1" type="noConversion"/>
  </si>
  <si>
    <t>主属性</t>
    <phoneticPr fontId="1" type="noConversion"/>
  </si>
  <si>
    <t>DOTA_ATTRIBUTE_STRENGTH</t>
  </si>
  <si>
    <t>DOTA_ATTRIBUTE_STRENGTH</t>
    <phoneticPr fontId="1" type="noConversion"/>
  </si>
  <si>
    <t>DOTA_ATTRIBUTE_AGILITY</t>
  </si>
  <si>
    <t>DOTA_ATTRIBUTE_INTELLECT</t>
  </si>
  <si>
    <t>AttributeBaseStrength</t>
    <phoneticPr fontId="1" type="noConversion"/>
  </si>
  <si>
    <t>AttributeStrengthGain</t>
    <phoneticPr fontId="1" type="noConversion"/>
  </si>
  <si>
    <t>AttributeBaseAgility</t>
    <phoneticPr fontId="1" type="noConversion"/>
  </si>
  <si>
    <t>AttributeAgilityGain</t>
    <phoneticPr fontId="1" type="noConversion"/>
  </si>
  <si>
    <t>AttributeBaseIntelligence</t>
    <phoneticPr fontId="1" type="noConversion"/>
  </si>
  <si>
    <t>AttributeIntelligenceGain</t>
    <phoneticPr fontId="1" type="noConversion"/>
  </si>
  <si>
    <t>基础力量</t>
    <phoneticPr fontId="1" type="noConversion"/>
  </si>
  <si>
    <t>力量成长</t>
    <phoneticPr fontId="1" type="noConversion"/>
  </si>
  <si>
    <t>基础敏捷</t>
    <phoneticPr fontId="1" type="noConversion"/>
  </si>
  <si>
    <t>敏捷成长</t>
    <phoneticPr fontId="1" type="noConversion"/>
  </si>
  <si>
    <t>基础智力</t>
    <phoneticPr fontId="1" type="noConversion"/>
  </si>
  <si>
    <t>智力成长</t>
    <phoneticPr fontId="1" type="noConversion"/>
  </si>
  <si>
    <t>攻击范围</t>
    <phoneticPr fontId="1" type="noConversion"/>
  </si>
  <si>
    <t>护甲</t>
    <phoneticPr fontId="1" type="noConversion"/>
  </si>
  <si>
    <t>魔抗</t>
    <phoneticPr fontId="1" type="noConversion"/>
  </si>
  <si>
    <t>基础生命恢复</t>
    <phoneticPr fontId="1" type="noConversion"/>
  </si>
  <si>
    <t>基础魔法恢复</t>
    <phoneticPr fontId="1" type="noConversion"/>
  </si>
  <si>
    <t>omniknight_0</t>
    <phoneticPr fontId="1" type="noConversion"/>
  </si>
  <si>
    <t>omniknight_1</t>
    <phoneticPr fontId="1" type="noConversion"/>
  </si>
  <si>
    <t>omniknight_2</t>
    <phoneticPr fontId="1" type="noConversion"/>
  </si>
  <si>
    <t>omniknight_3</t>
    <phoneticPr fontId="1" type="noConversion"/>
  </si>
  <si>
    <t>omniknight_4</t>
    <phoneticPr fontId="1" type="noConversion"/>
  </si>
  <si>
    <t>tt1</t>
    <phoneticPr fontId="1" type="noConversion"/>
  </si>
  <si>
    <t>tt2</t>
    <phoneticPr fontId="1" type="noConversion"/>
  </si>
  <si>
    <t>tt3</t>
    <phoneticPr fontId="1" type="noConversion"/>
  </si>
  <si>
    <t>tt4</t>
    <phoneticPr fontId="1" type="noConversion"/>
  </si>
  <si>
    <t>tt5</t>
    <phoneticPr fontId="1" type="noConversion"/>
  </si>
  <si>
    <t>tt6</t>
    <phoneticPr fontId="1" type="noConversion"/>
  </si>
  <si>
    <t>tt7</t>
    <phoneticPr fontId="1" type="noConversion"/>
  </si>
  <si>
    <t>tt8</t>
    <phoneticPr fontId="1" type="noConversion"/>
  </si>
  <si>
    <t>npc_dota_hero_windrunner</t>
    <phoneticPr fontId="1" type="noConversion"/>
  </si>
  <si>
    <t>风行者</t>
    <phoneticPr fontId="1" type="noConversion"/>
  </si>
  <si>
    <t>particles/heroes/windrunner/windrunner_base_attack.vpcf</t>
    <phoneticPr fontId="1" type="noConversion"/>
  </si>
  <si>
    <t>卓尔游侠</t>
    <phoneticPr fontId="1" type="noConversion"/>
  </si>
  <si>
    <t>影月守望者</t>
    <phoneticPr fontId="1" type="noConversion"/>
  </si>
  <si>
    <t>时空魔术师</t>
    <phoneticPr fontId="1" type="noConversion"/>
  </si>
  <si>
    <t>剑圣</t>
    <phoneticPr fontId="1" type="noConversion"/>
  </si>
  <si>
    <t>恶魔猎手</t>
    <phoneticPr fontId="1" type="noConversion"/>
  </si>
  <si>
    <t>莉莉丝</t>
    <phoneticPr fontId="1" type="noConversion"/>
  </si>
  <si>
    <t>塔耳塔洛斯</t>
    <phoneticPr fontId="1" type="noConversion"/>
  </si>
  <si>
    <t>火焰之灵</t>
    <phoneticPr fontId="1" type="noConversion"/>
  </si>
  <si>
    <t>希波吕忒</t>
    <phoneticPr fontId="1" type="noConversion"/>
  </si>
  <si>
    <t>fire_spirit_1</t>
    <phoneticPr fontId="1" type="noConversion"/>
  </si>
  <si>
    <t>天启者</t>
    <phoneticPr fontId="1" type="noConversion"/>
  </si>
  <si>
    <t>templar_assassin_1</t>
    <phoneticPr fontId="1" type="noConversion"/>
  </si>
  <si>
    <t>冰川女巫</t>
    <phoneticPr fontId="1" type="noConversion"/>
  </si>
  <si>
    <t>齐天大圣</t>
    <phoneticPr fontId="1" type="noConversion"/>
  </si>
  <si>
    <t xml:space="preserve"> 墨丘利</t>
    <phoneticPr fontId="1" type="noConversion"/>
  </si>
  <si>
    <t>spectre_1</t>
    <phoneticPr fontId="1" type="noConversion"/>
  </si>
  <si>
    <t>神谕者</t>
    <phoneticPr fontId="1" type="noConversion"/>
  </si>
  <si>
    <t>oracle_1</t>
    <phoneticPr fontId="1" type="noConversion"/>
  </si>
  <si>
    <t>lock</t>
    <phoneticPr fontId="1" type="noConversion"/>
  </si>
  <si>
    <t>npc_dota_hero_drow_ranger</t>
    <phoneticPr fontId="1" type="noConversion"/>
  </si>
  <si>
    <t>npc_dota_hero_phantom_assassin</t>
    <phoneticPr fontId="1" type="noConversion"/>
  </si>
  <si>
    <t>npc_dota_hero_rubick</t>
    <phoneticPr fontId="1" type="noConversion"/>
  </si>
  <si>
    <t>npc_dota_hero_juggernaut</t>
    <phoneticPr fontId="1" type="noConversion"/>
  </si>
  <si>
    <t>npc_dota_hero_antimage</t>
    <phoneticPr fontId="1" type="noConversion"/>
  </si>
  <si>
    <t>npc_dota_hero_lina</t>
    <phoneticPr fontId="1" type="noConversion"/>
  </si>
  <si>
    <t>npc_dota_hero_nevermore</t>
    <phoneticPr fontId="1" type="noConversion"/>
  </si>
  <si>
    <t>npc_dota_hero_legion_commander</t>
    <phoneticPr fontId="1" type="noConversion"/>
  </si>
  <si>
    <t>npc_dota_hero_ember_spirit</t>
    <phoneticPr fontId="1" type="noConversion"/>
  </si>
  <si>
    <t>npc_dota_hero_templar_assassin</t>
    <phoneticPr fontId="1" type="noConversion"/>
  </si>
  <si>
    <t>npc_dota_hero_crystal_maiden</t>
    <phoneticPr fontId="1" type="noConversion"/>
  </si>
  <si>
    <t>npc_dota_hero_monkey_king</t>
    <phoneticPr fontId="1" type="noConversion"/>
  </si>
  <si>
    <t>npc_dota_hero_spectre</t>
    <phoneticPr fontId="1" type="noConversion"/>
  </si>
  <si>
    <t>npc_dota_hero_oracle</t>
    <phoneticPr fontId="1" type="noConversion"/>
  </si>
  <si>
    <t>DOTA_ATTRIBUTE_AGILITY</t>
    <phoneticPr fontId="1" type="noConversion"/>
  </si>
  <si>
    <t>DOTA_ATTRIBUTE_INTELLECT</t>
    <phoneticPr fontId="1" type="noConversion"/>
  </si>
  <si>
    <t>AttackRange</t>
    <phoneticPr fontId="1" type="noConversion"/>
  </si>
  <si>
    <t>MovementTurnRate</t>
    <phoneticPr fontId="1" type="noConversion"/>
  </si>
  <si>
    <t>particles/heroes/drow_ranger/drow_ranger_0_1.vpcf</t>
    <phoneticPr fontId="1" type="noConversion"/>
  </si>
  <si>
    <t>abstrusemoon_shadow</t>
    <phoneticPr fontId="1" type="noConversion"/>
  </si>
  <si>
    <t>demon_hunter</t>
    <phoneticPr fontId="1" type="noConversion"/>
  </si>
  <si>
    <t>ashes</t>
    <phoneticPr fontId="1" type="noConversion"/>
  </si>
  <si>
    <t>war_honor</t>
    <phoneticPr fontId="1" type="noConversion"/>
  </si>
  <si>
    <t>fire_spirit_0</t>
    <phoneticPr fontId="1" type="noConversion"/>
  </si>
  <si>
    <t>templar_assassin_0</t>
    <phoneticPr fontId="1" type="noConversion"/>
  </si>
  <si>
    <t>piercing_eye</t>
    <phoneticPr fontId="1" type="noConversion"/>
  </si>
  <si>
    <t>spectre_0</t>
    <phoneticPr fontId="1" type="noConversion"/>
  </si>
  <si>
    <t>oracle_0</t>
    <phoneticPr fontId="1" type="noConversion"/>
  </si>
  <si>
    <t>shadowmoon_wheeldance</t>
    <phoneticPr fontId="1" type="noConversion"/>
  </si>
  <si>
    <t>juggernaut_1</t>
    <phoneticPr fontId="1" type="noConversion"/>
  </si>
  <si>
    <t>soulblade</t>
    <phoneticPr fontId="1" type="noConversion"/>
  </si>
  <si>
    <t>dark_fire</t>
    <phoneticPr fontId="1" type="noConversion"/>
  </si>
  <si>
    <t>queen_curse</t>
    <phoneticPr fontId="1" type="noConversion"/>
  </si>
  <si>
    <t>stick_wind</t>
    <phoneticPr fontId="1" type="noConversion"/>
  </si>
  <si>
    <t>moonlight_projection</t>
    <phoneticPr fontId="1" type="noConversion"/>
  </si>
  <si>
    <t>soulring</t>
    <phoneticPr fontId="1" type="noConversion"/>
  </si>
  <si>
    <t>light_array</t>
    <phoneticPr fontId="1" type="noConversion"/>
  </si>
  <si>
    <t>war_arua</t>
    <phoneticPr fontId="1" type="noConversion"/>
  </si>
  <si>
    <t>fire_spirit_2</t>
    <phoneticPr fontId="1" type="noConversion"/>
  </si>
  <si>
    <t>templar_assassin_2</t>
    <phoneticPr fontId="1" type="noConversion"/>
  </si>
  <si>
    <t>indestructible</t>
    <phoneticPr fontId="1" type="noConversion"/>
  </si>
  <si>
    <t>spectre_2</t>
    <phoneticPr fontId="1" type="noConversion"/>
  </si>
  <si>
    <t>oracle_2</t>
    <phoneticPr fontId="1" type="noConversion"/>
  </si>
  <si>
    <t>clusters_stars</t>
    <phoneticPr fontId="1" type="noConversion"/>
  </si>
  <si>
    <t>magic_blade</t>
    <phoneticPr fontId="1" type="noConversion"/>
  </si>
  <si>
    <t>endless_ignite</t>
    <phoneticPr fontId="1" type="noConversion"/>
  </si>
  <si>
    <t>courage_moment</t>
    <phoneticPr fontId="1" type="noConversion"/>
  </si>
  <si>
    <t>fire_spirit_3</t>
    <phoneticPr fontId="1" type="noConversion"/>
  </si>
  <si>
    <t>templar_assassin_3</t>
    <phoneticPr fontId="1" type="noConversion"/>
  </si>
  <si>
    <t>endless_offensive</t>
    <phoneticPr fontId="1" type="noConversion"/>
  </si>
  <si>
    <t>spectre_3</t>
    <phoneticPr fontId="1" type="noConversion"/>
  </si>
  <si>
    <t>oracle_3</t>
    <phoneticPr fontId="1" type="noConversion"/>
  </si>
  <si>
    <t>shadow_rift_garrotte</t>
    <phoneticPr fontId="1" type="noConversion"/>
  </si>
  <si>
    <t>metamorphosis</t>
    <phoneticPr fontId="1" type="noConversion"/>
  </si>
  <si>
    <t>meteor_storm</t>
    <phoneticPr fontId="1" type="noConversion"/>
  </si>
  <si>
    <t>war_god</t>
    <phoneticPr fontId="1" type="noConversion"/>
  </si>
  <si>
    <t>fire_spirit_4</t>
    <phoneticPr fontId="1" type="noConversion"/>
  </si>
  <si>
    <t>templar_assassin_4</t>
    <phoneticPr fontId="1" type="noConversion"/>
  </si>
  <si>
    <t>jingubang</t>
    <phoneticPr fontId="1" type="noConversion"/>
  </si>
  <si>
    <t>spectre_4</t>
    <phoneticPr fontId="1" type="noConversion"/>
  </si>
  <si>
    <t>oracle_4</t>
    <phoneticPr fontId="1" type="noConversion"/>
  </si>
  <si>
    <t>技能17</t>
    <phoneticPr fontId="1" type="noConversion"/>
  </si>
  <si>
    <t>Ability17</t>
    <phoneticPr fontId="1" type="noConversion"/>
  </si>
  <si>
    <t>HeroSelectSoundEffect</t>
    <phoneticPr fontId="1" type="noConversion"/>
  </si>
  <si>
    <t>选择音效</t>
    <phoneticPr fontId="1" type="noConversion"/>
  </si>
  <si>
    <t>预览音效</t>
    <phoneticPr fontId="1" type="noConversion"/>
  </si>
  <si>
    <t>windrunner_wind_spawn_01</t>
    <phoneticPr fontId="1" type="noConversion"/>
  </si>
  <si>
    <t>omniknight_omni_spawn_01</t>
    <phoneticPr fontId="1" type="noConversion"/>
  </si>
  <si>
    <t>drowranger_dro_spawn_03</t>
    <phoneticPr fontId="1" type="noConversion"/>
  </si>
  <si>
    <t>phantom_assassin_phass_spawn_01</t>
    <phoneticPr fontId="1" type="noConversion"/>
  </si>
  <si>
    <t>rubick_rubick_spawn_04</t>
    <phoneticPr fontId="1" type="noConversion"/>
  </si>
  <si>
    <t>juggernaut_jug_spawn_03</t>
    <phoneticPr fontId="1" type="noConversion"/>
  </si>
  <si>
    <t>antimage_anti_spawn_01</t>
    <phoneticPr fontId="1" type="noConversion"/>
  </si>
  <si>
    <t>lina_lina_spawn_01</t>
    <phoneticPr fontId="1" type="noConversion"/>
  </si>
  <si>
    <t>nevermore_nev_spawn_11</t>
    <phoneticPr fontId="1" type="noConversion"/>
  </si>
  <si>
    <t>PickSound</t>
    <phoneticPr fontId="1" type="noConversion"/>
  </si>
  <si>
    <t>legion_commander_legcom_spawn_01</t>
    <phoneticPr fontId="1" type="noConversion"/>
  </si>
  <si>
    <t>ember_spirit_embr_spawn_01</t>
    <phoneticPr fontId="1" type="noConversion"/>
  </si>
  <si>
    <t>templar_assassin_temp_spawn_02</t>
    <phoneticPr fontId="1" type="noConversion"/>
  </si>
  <si>
    <t>crystalmaiden_cm_spawn_01</t>
    <phoneticPr fontId="1" type="noConversion"/>
  </si>
  <si>
    <t>monkey_king_monkey_spawn_17</t>
    <phoneticPr fontId="1" type="noConversion"/>
  </si>
  <si>
    <t>spectre_spec_spawn_01</t>
    <phoneticPr fontId="1" type="noConversion"/>
  </si>
  <si>
    <t>oracle_orac_spawn_01</t>
    <phoneticPr fontId="1" type="noConversion"/>
  </si>
  <si>
    <t>generic_hidden</t>
    <phoneticPr fontId="1" type="noConversion"/>
  </si>
  <si>
    <t>天赋开始位置</t>
    <phoneticPr fontId="1" type="noConversion"/>
  </si>
  <si>
    <t>技能18</t>
    <phoneticPr fontId="1" type="noConversion"/>
  </si>
  <si>
    <t>Ability18</t>
    <phoneticPr fontId="1" type="noConversion"/>
  </si>
  <si>
    <t>AbilityTalentStart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</si>
  <si>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</si>
  <si>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</si>
  <si>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</si>
  <si>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</si>
  <si>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drow_ranger_4</t>
    <phoneticPr fontId="1" type="noConversion"/>
  </si>
  <si>
    <t>hide</t>
    <phoneticPr fontId="1" type="noConversion"/>
  </si>
  <si>
    <t>spectre_1_0</t>
    <phoneticPr fontId="1" type="noConversion"/>
  </si>
  <si>
    <t>juggernaut_0</t>
    <phoneticPr fontId="1" type="noConversion"/>
  </si>
  <si>
    <t>juggernaut_2</t>
    <phoneticPr fontId="1" type="noConversion"/>
  </si>
  <si>
    <t>juggernaut_2_1</t>
    <phoneticPr fontId="1" type="noConversion"/>
  </si>
  <si>
    <t>juggernaut_3</t>
    <phoneticPr fontId="1" type="noConversion"/>
  </si>
  <si>
    <t>juggernaut_4</t>
    <phoneticPr fontId="1" type="noConversion"/>
  </si>
  <si>
    <t>nevermore_0</t>
    <phoneticPr fontId="1" type="noConversion"/>
  </si>
  <si>
    <t>nevermore_1</t>
    <phoneticPr fontId="1" type="noConversion"/>
  </si>
  <si>
    <t>nevermore_2</t>
    <phoneticPr fontId="1" type="noConversion"/>
  </si>
  <si>
    <t>nevermore_3</t>
    <phoneticPr fontId="1" type="noConversion"/>
  </si>
  <si>
    <t>nevermore_4</t>
    <phoneticPr fontId="1" type="noConversion"/>
  </si>
  <si>
    <t>rubick_0</t>
    <phoneticPr fontId="1" type="noConversion"/>
  </si>
  <si>
    <t>rubick_1</t>
    <phoneticPr fontId="1" type="noConversion"/>
  </si>
  <si>
    <t>rubick_2</t>
    <phoneticPr fontId="1" type="noConversion"/>
  </si>
  <si>
    <t>rubick_3</t>
    <phoneticPr fontId="1" type="noConversion"/>
  </si>
  <si>
    <t>rubick_4</t>
    <phoneticPr fontId="1" type="noConversion"/>
  </si>
  <si>
    <t>windrunner_0</t>
    <phoneticPr fontId="1" type="noConversion"/>
  </si>
  <si>
    <t>windrunner_1</t>
    <phoneticPr fontId="1" type="noConversion"/>
  </si>
  <si>
    <t>windrunner_3</t>
    <phoneticPr fontId="1" type="noConversion"/>
  </si>
  <si>
    <t>windrunner_4</t>
    <phoneticPr fontId="1" type="noConversion"/>
  </si>
  <si>
    <t>windrunner_2</t>
    <phoneticPr fontId="1" type="noConversion"/>
  </si>
  <si>
    <t>crystal_maiden_0</t>
    <phoneticPr fontId="1" type="noConversion"/>
  </si>
  <si>
    <t>crystal_maiden_1</t>
  </si>
  <si>
    <t>crystal_maiden_2</t>
  </si>
  <si>
    <t>crystal_maiden_3</t>
  </si>
  <si>
    <t>crystal_maiden_4</t>
  </si>
  <si>
    <t>crystal_maiden_1</t>
    <phoneticPr fontId="1" type="noConversion"/>
  </si>
  <si>
    <t>crystal_maiden_2</t>
    <phoneticPr fontId="1" type="noConversion"/>
  </si>
  <si>
    <t>crystal_maiden_3</t>
    <phoneticPr fontId="1" type="noConversion"/>
  </si>
  <si>
    <t>crystal_maiden_4</t>
    <phoneticPr fontId="1" type="noConversion"/>
  </si>
  <si>
    <t>vscripts</t>
    <phoneticPr fontId="1" type="noConversion"/>
  </si>
  <si>
    <t>脚本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</si>
</sst>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333333"/>
      <name val="Microsoft JhengHei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 wrapText="1"/>
    </xf>
  </cellXfs>
  <cellStyles count="1">
    <cellStyle name="常规" xfId="0" builtinId="0"/>
  </cellStyles>
  <dxfs count="34"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V18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ColWidth="12.625" defaultRowHeight="18" customHeight="1" x14ac:dyDescent="0.2"/>
  <cols>
    <col min="1" max="1" width="31.5" style="2" bestFit="1" customWidth="1"/>
    <col min="2" max="2" width="10.875" style="2" bestFit="1" customWidth="1"/>
    <col min="3" max="3" width="18.75" style="2" customWidth="1"/>
    <col min="4" max="4" width="24.5" style="3" bestFit="1" customWidth="1"/>
    <col min="5" max="6" width="24.5" style="3" customWidth="1"/>
    <col min="7" max="7" width="26.875" style="3" bestFit="1" customWidth="1"/>
    <col min="8" max="8" width="19.875" style="3" bestFit="1" customWidth="1"/>
    <col min="9" max="9" width="19.75" style="3" bestFit="1" customWidth="1"/>
    <col min="10" max="10" width="17.75" style="3" bestFit="1" customWidth="1"/>
    <col min="11" max="11" width="17.625" style="3" bestFit="1" customWidth="1"/>
    <col min="12" max="13" width="22.25" style="3" bestFit="1" customWidth="1"/>
    <col min="14" max="14" width="10" style="3" bestFit="1" customWidth="1"/>
    <col min="15" max="15" width="15.75" style="3" bestFit="1" customWidth="1"/>
    <col min="16" max="16" width="16.875" style="3" bestFit="1" customWidth="1"/>
    <col min="17" max="17" width="17.25" style="3" bestFit="1" customWidth="1"/>
    <col min="18" max="18" width="11.75" style="3" bestFit="1" customWidth="1"/>
    <col min="19" max="19" width="15.625" style="3" bestFit="1" customWidth="1"/>
    <col min="20" max="20" width="18.125" style="3" bestFit="1" customWidth="1"/>
    <col min="21" max="21" width="13.125" style="3" bestFit="1" customWidth="1"/>
    <col min="22" max="22" width="16.625" style="3" bestFit="1" customWidth="1"/>
    <col min="23" max="23" width="11.625" style="3" bestFit="1" customWidth="1"/>
    <col min="24" max="24" width="17.25" style="3" bestFit="1" customWidth="1"/>
    <col min="25" max="25" width="10.875" style="3" bestFit="1" customWidth="1"/>
    <col min="26" max="26" width="16.625" style="3" bestFit="1" customWidth="1"/>
    <col min="27" max="27" width="51.5" style="3" bestFit="1" customWidth="1"/>
    <col min="28" max="28" width="14.125" style="3" bestFit="1" customWidth="1"/>
    <col min="29" max="29" width="8.75" style="3" bestFit="1" customWidth="1"/>
    <col min="30" max="30" width="20.875" style="3" bestFit="1" customWidth="1"/>
    <col min="31" max="31" width="23.875" style="3" bestFit="1" customWidth="1"/>
    <col min="32" max="32" width="19.375" style="3" bestFit="1" customWidth="1"/>
    <col min="33" max="33" width="16.125" style="3" bestFit="1" customWidth="1"/>
    <col min="34" max="34" width="21" style="3" bestFit="1" customWidth="1"/>
    <col min="35" max="38" width="14.125" style="3" bestFit="1" customWidth="1"/>
    <col min="39" max="39" width="14.125" style="3" customWidth="1"/>
    <col min="40" max="47" width="8.125" style="3" bestFit="1" customWidth="1"/>
    <col min="48" max="48" width="14.125" style="3" bestFit="1" customWidth="1"/>
    <col min="49" max="16384" width="12.625" style="3"/>
  </cols>
  <sheetData>
    <row r="1" spans="1:48" s="1" customFormat="1" ht="18" customHeight="1" x14ac:dyDescent="0.2">
      <c r="A1" s="1" t="s">
        <v>0</v>
      </c>
      <c r="B1" s="1" t="s">
        <v>2</v>
      </c>
      <c r="C1" s="1" t="s">
        <v>249</v>
      </c>
      <c r="D1" s="1" t="s">
        <v>64</v>
      </c>
      <c r="E1" s="1" t="s">
        <v>189</v>
      </c>
      <c r="F1" s="1" t="s">
        <v>188</v>
      </c>
      <c r="G1" s="1" t="s">
        <v>67</v>
      </c>
      <c r="H1" s="1" t="s">
        <v>78</v>
      </c>
      <c r="I1" s="1" t="s">
        <v>79</v>
      </c>
      <c r="J1" s="1" t="s">
        <v>80</v>
      </c>
      <c r="K1" s="1" t="s">
        <v>81</v>
      </c>
      <c r="L1" s="1" t="s">
        <v>82</v>
      </c>
      <c r="M1" s="1" t="s">
        <v>83</v>
      </c>
      <c r="N1" s="1" t="s">
        <v>17</v>
      </c>
      <c r="O1" s="1" t="s">
        <v>59</v>
      </c>
      <c r="P1" s="1" t="s">
        <v>13</v>
      </c>
      <c r="Q1" s="1" t="s">
        <v>15</v>
      </c>
      <c r="R1" s="1" t="s">
        <v>84</v>
      </c>
      <c r="S1" s="1" t="s">
        <v>4</v>
      </c>
      <c r="T1" s="1" t="s">
        <v>6</v>
      </c>
      <c r="U1" s="1" t="s">
        <v>85</v>
      </c>
      <c r="V1" s="1" t="s">
        <v>86</v>
      </c>
      <c r="W1" s="1" t="s">
        <v>7</v>
      </c>
      <c r="X1" s="1" t="s">
        <v>87</v>
      </c>
      <c r="Y1" s="1" t="s">
        <v>10</v>
      </c>
      <c r="Z1" s="1" t="s">
        <v>88</v>
      </c>
      <c r="AA1" s="1" t="s">
        <v>19</v>
      </c>
      <c r="AB1" s="1" t="s">
        <v>21</v>
      </c>
      <c r="AC1" s="1" t="s">
        <v>25</v>
      </c>
      <c r="AD1" s="1" t="s">
        <v>27</v>
      </c>
      <c r="AE1" s="1" t="s">
        <v>29</v>
      </c>
      <c r="AF1" s="1" t="s">
        <v>31</v>
      </c>
      <c r="AG1" s="1" t="s">
        <v>33</v>
      </c>
      <c r="AH1" s="1" t="s">
        <v>35</v>
      </c>
      <c r="AI1" s="1" t="s">
        <v>37</v>
      </c>
      <c r="AJ1" s="1" t="s">
        <v>39</v>
      </c>
      <c r="AK1" s="1" t="s">
        <v>41</v>
      </c>
      <c r="AL1" s="1" t="s">
        <v>43</v>
      </c>
      <c r="AM1" s="1" t="s">
        <v>208</v>
      </c>
      <c r="AN1" s="1" t="s">
        <v>45</v>
      </c>
      <c r="AO1" s="1" t="s">
        <v>47</v>
      </c>
      <c r="AP1" s="1" t="s">
        <v>49</v>
      </c>
      <c r="AQ1" s="1" t="s">
        <v>51</v>
      </c>
      <c r="AR1" s="1" t="s">
        <v>53</v>
      </c>
      <c r="AS1" s="1" t="s">
        <v>55</v>
      </c>
      <c r="AT1" s="1" t="s">
        <v>57</v>
      </c>
      <c r="AU1" s="1" t="s">
        <v>185</v>
      </c>
      <c r="AV1" s="1" t="s">
        <v>209</v>
      </c>
    </row>
    <row r="2" spans="1:48" s="1" customFormat="1" ht="18" customHeight="1" x14ac:dyDescent="0.2">
      <c r="A2" s="1" t="s">
        <v>1</v>
      </c>
      <c r="B2" s="1" t="s">
        <v>3</v>
      </c>
      <c r="C2" s="1" t="s">
        <v>248</v>
      </c>
      <c r="D2" s="1" t="s">
        <v>63</v>
      </c>
      <c r="E2" s="1" t="s">
        <v>187</v>
      </c>
      <c r="F2" s="1" t="s">
        <v>199</v>
      </c>
      <c r="G2" s="1" t="s">
        <v>66</v>
      </c>
      <c r="H2" s="1" t="s">
        <v>72</v>
      </c>
      <c r="I2" s="1" t="s">
        <v>73</v>
      </c>
      <c r="J2" s="1" t="s">
        <v>74</v>
      </c>
      <c r="K2" s="1" t="s">
        <v>75</v>
      </c>
      <c r="L2" s="1" t="s">
        <v>76</v>
      </c>
      <c r="M2" s="1" t="s">
        <v>77</v>
      </c>
      <c r="N2" s="1" t="s">
        <v>18</v>
      </c>
      <c r="O2" s="1" t="s">
        <v>60</v>
      </c>
      <c r="P2" s="1" t="s">
        <v>14</v>
      </c>
      <c r="Q2" s="1" t="s">
        <v>16</v>
      </c>
      <c r="R2" s="1" t="s">
        <v>140</v>
      </c>
      <c r="S2" s="1" t="s">
        <v>5</v>
      </c>
      <c r="T2" s="1" t="s">
        <v>141</v>
      </c>
      <c r="U2" s="1" t="s">
        <v>23</v>
      </c>
      <c r="V2" s="1" t="s">
        <v>24</v>
      </c>
      <c r="W2" s="1" t="s">
        <v>8</v>
      </c>
      <c r="X2" s="1" t="s">
        <v>9</v>
      </c>
      <c r="Y2" s="1" t="s">
        <v>11</v>
      </c>
      <c r="Z2" s="1" t="s">
        <v>12</v>
      </c>
      <c r="AA2" s="1" t="s">
        <v>20</v>
      </c>
      <c r="AB2" s="1" t="s">
        <v>22</v>
      </c>
      <c r="AC2" s="1" t="s">
        <v>26</v>
      </c>
      <c r="AD2" s="1" t="s">
        <v>28</v>
      </c>
      <c r="AE2" s="1" t="s">
        <v>30</v>
      </c>
      <c r="AF2" s="1" t="s">
        <v>32</v>
      </c>
      <c r="AG2" s="1" t="s">
        <v>34</v>
      </c>
      <c r="AH2" s="1" t="s">
        <v>36</v>
      </c>
      <c r="AI2" s="1" t="s">
        <v>38</v>
      </c>
      <c r="AJ2" s="1" t="s">
        <v>40</v>
      </c>
      <c r="AK2" s="1" t="s">
        <v>42</v>
      </c>
      <c r="AL2" s="1" t="s">
        <v>44</v>
      </c>
      <c r="AM2" s="1" t="s">
        <v>211</v>
      </c>
      <c r="AN2" s="1" t="s">
        <v>46</v>
      </c>
      <c r="AO2" s="1" t="s">
        <v>48</v>
      </c>
      <c r="AP2" s="1" t="s">
        <v>50</v>
      </c>
      <c r="AQ2" s="1" t="s">
        <v>52</v>
      </c>
      <c r="AR2" s="1" t="s">
        <v>54</v>
      </c>
      <c r="AS2" s="1" t="s">
        <v>56</v>
      </c>
      <c r="AT2" s="1" t="s">
        <v>58</v>
      </c>
      <c r="AU2" s="1" t="s">
        <v>186</v>
      </c>
      <c r="AV2" s="1" t="s">
        <v>210</v>
      </c>
    </row>
    <row r="3" spans="1:48" ht="18" customHeight="1" x14ac:dyDescent="0.2">
      <c r="A3" s="2" t="s">
        <v>61</v>
      </c>
      <c r="B3" s="2" t="s">
        <v>62</v>
      </c>
      <c r="C3" s="2" t="str">
        <f>"ai/heroes/"&amp;RIGHT(A3,LEN(A3)-14)</f>
        <v>ai/heroes/omniknight</v>
      </c>
      <c r="D3" s="3" t="str">
        <f>A3</f>
        <v>npc_dota_hero_omniknight</v>
      </c>
      <c r="E3" s="3" t="str">
        <f>"Hero_"&amp;PROPER(RIGHT(A3,LEN(A3)-14))&amp;".Pick"</f>
        <v>Hero_Omniknight.Pick</v>
      </c>
      <c r="F3" s="3" t="s">
        <v>191</v>
      </c>
      <c r="G3" s="3" t="s">
        <v>69</v>
      </c>
      <c r="H3" s="3">
        <v>28</v>
      </c>
      <c r="I3" s="3">
        <v>3</v>
      </c>
      <c r="J3" s="3">
        <v>13</v>
      </c>
      <c r="K3" s="3">
        <v>1.8</v>
      </c>
      <c r="L3" s="3">
        <v>22</v>
      </c>
      <c r="M3" s="3">
        <v>2</v>
      </c>
      <c r="N3" s="3">
        <v>1.7</v>
      </c>
      <c r="P3" s="3">
        <v>31</v>
      </c>
      <c r="Q3" s="3">
        <v>41</v>
      </c>
      <c r="R3" s="3">
        <v>150</v>
      </c>
      <c r="S3" s="3">
        <v>305</v>
      </c>
      <c r="U3" s="3">
        <v>2.1</v>
      </c>
      <c r="V3" s="3">
        <v>0</v>
      </c>
      <c r="AD3" s="3" t="s">
        <v>89</v>
      </c>
      <c r="AE3" s="3" t="s">
        <v>90</v>
      </c>
      <c r="AF3" s="3" t="s">
        <v>91</v>
      </c>
      <c r="AG3" s="3" t="s">
        <v>92</v>
      </c>
      <c r="AH3" s="3" t="s">
        <v>93</v>
      </c>
      <c r="AI3" s="3" t="s">
        <v>207</v>
      </c>
      <c r="AJ3" s="3" t="s">
        <v>207</v>
      </c>
      <c r="AK3" s="3" t="s">
        <v>207</v>
      </c>
      <c r="AL3" s="3" t="s">
        <v>207</v>
      </c>
      <c r="AM3" s="3">
        <v>10</v>
      </c>
      <c r="AN3" s="3" t="s">
        <v>94</v>
      </c>
      <c r="AO3" s="3" t="s">
        <v>95</v>
      </c>
      <c r="AP3" s="3" t="s">
        <v>96</v>
      </c>
      <c r="AQ3" s="3" t="s">
        <v>97</v>
      </c>
      <c r="AR3" s="3" t="s">
        <v>98</v>
      </c>
      <c r="AS3" s="3" t="s">
        <v>99</v>
      </c>
      <c r="AT3" s="3" t="s">
        <v>100</v>
      </c>
      <c r="AU3" s="3" t="s">
        <v>101</v>
      </c>
      <c r="AV3" s="3" t="s">
        <v>207</v>
      </c>
    </row>
    <row r="4" spans="1:48" ht="18" customHeight="1" x14ac:dyDescent="0.2">
      <c r="A4" s="2" t="s">
        <v>102</v>
      </c>
      <c r="B4" s="2" t="s">
        <v>103</v>
      </c>
      <c r="C4" s="2" t="str">
        <f t="shared" ref="C4:C18" si="0">"ai/heroes/"&amp;RIGHT(A4,LEN(A4)-14)</f>
        <v>ai/heroes/windrunner</v>
      </c>
      <c r="D4" s="3" t="str">
        <f t="shared" ref="D4:D18" si="1">A4</f>
        <v>npc_dota_hero_windrunner</v>
      </c>
      <c r="E4" s="3" t="str">
        <f>"Hero_"&amp;PROPER(RIGHT(A4,LEN(A4)-14))&amp;".Pick"</f>
        <v>Hero_Windrunner.Pick</v>
      </c>
      <c r="F4" s="3" t="s">
        <v>190</v>
      </c>
      <c r="G4" s="3" t="s">
        <v>138</v>
      </c>
      <c r="H4" s="3">
        <v>17</v>
      </c>
      <c r="I4" s="3">
        <v>2.4</v>
      </c>
      <c r="J4" s="3">
        <v>22</v>
      </c>
      <c r="K4" s="3">
        <v>3</v>
      </c>
      <c r="L4" s="3">
        <v>15</v>
      </c>
      <c r="M4" s="3">
        <v>2.1</v>
      </c>
      <c r="N4" s="3">
        <v>1.65</v>
      </c>
      <c r="P4" s="3">
        <v>22</v>
      </c>
      <c r="Q4" s="3">
        <v>34</v>
      </c>
      <c r="R4" s="3">
        <v>550</v>
      </c>
      <c r="S4" s="3">
        <v>295</v>
      </c>
      <c r="U4" s="3">
        <v>0.38</v>
      </c>
      <c r="V4" s="3">
        <v>0</v>
      </c>
      <c r="AA4" s="3" t="s">
        <v>104</v>
      </c>
      <c r="AD4" s="3" t="s">
        <v>234</v>
      </c>
      <c r="AE4" s="3" t="s">
        <v>235</v>
      </c>
      <c r="AF4" s="3" t="s">
        <v>238</v>
      </c>
      <c r="AG4" s="3" t="s">
        <v>236</v>
      </c>
      <c r="AH4" s="3" t="s">
        <v>237</v>
      </c>
      <c r="AI4" s="3" t="s">
        <v>207</v>
      </c>
      <c r="AJ4" s="3" t="s">
        <v>207</v>
      </c>
      <c r="AK4" s="3" t="s">
        <v>207</v>
      </c>
      <c r="AL4" s="3" t="s">
        <v>207</v>
      </c>
      <c r="AM4" s="3">
        <v>10</v>
      </c>
      <c r="AN4" s="3" t="s">
        <v>94</v>
      </c>
      <c r="AO4" s="3" t="s">
        <v>95</v>
      </c>
      <c r="AP4" s="3" t="s">
        <v>96</v>
      </c>
      <c r="AQ4" s="3" t="s">
        <v>97</v>
      </c>
      <c r="AR4" s="3" t="s">
        <v>98</v>
      </c>
      <c r="AS4" s="3" t="s">
        <v>99</v>
      </c>
      <c r="AT4" s="3" t="s">
        <v>100</v>
      </c>
      <c r="AU4" s="3" t="s">
        <v>101</v>
      </c>
      <c r="AV4" s="3" t="s">
        <v>207</v>
      </c>
    </row>
    <row r="5" spans="1:48" ht="18" customHeight="1" x14ac:dyDescent="0.2">
      <c r="A5" s="2" t="s">
        <v>124</v>
      </c>
      <c r="B5" s="2" t="s">
        <v>105</v>
      </c>
      <c r="C5" s="2" t="str">
        <f t="shared" si="0"/>
        <v>ai/heroes/drow_ranger</v>
      </c>
      <c r="D5" s="3" t="str">
        <f t="shared" si="1"/>
        <v>npc_dota_hero_drow_ranger</v>
      </c>
      <c r="E5" s="3" t="str">
        <f t="shared" ref="E5:E18" si="2">"Hero_"&amp;PROPER(RIGHT(A5,LEN(A5)-14))&amp;".Pick"</f>
        <v>Hero_Drow_Ranger.Pick</v>
      </c>
      <c r="F5" s="3" t="s">
        <v>192</v>
      </c>
      <c r="G5" s="3" t="s">
        <v>138</v>
      </c>
      <c r="H5" s="3">
        <v>17</v>
      </c>
      <c r="I5" s="3">
        <v>2.4</v>
      </c>
      <c r="J5" s="3">
        <v>22</v>
      </c>
      <c r="K5" s="3">
        <v>3</v>
      </c>
      <c r="L5" s="3">
        <v>15</v>
      </c>
      <c r="M5" s="3">
        <v>2.1</v>
      </c>
      <c r="N5" s="3">
        <v>1.65</v>
      </c>
      <c r="P5" s="3">
        <v>22</v>
      </c>
      <c r="Q5" s="3">
        <v>34</v>
      </c>
      <c r="R5" s="3">
        <v>650</v>
      </c>
      <c r="S5" s="3">
        <v>295</v>
      </c>
      <c r="U5" s="3">
        <v>0.38</v>
      </c>
      <c r="V5" s="3">
        <v>0</v>
      </c>
      <c r="AA5" s="3" t="s">
        <v>142</v>
      </c>
      <c r="AC5" s="3" t="s">
        <v>217</v>
      </c>
      <c r="AD5" s="3" t="s">
        <v>212</v>
      </c>
      <c r="AE5" s="3" t="s">
        <v>213</v>
      </c>
      <c r="AF5" s="3" t="s">
        <v>214</v>
      </c>
      <c r="AG5" s="3" t="s">
        <v>215</v>
      </c>
      <c r="AH5" s="3" t="s">
        <v>216</v>
      </c>
      <c r="AI5" s="3" t="s">
        <v>207</v>
      </c>
      <c r="AJ5" s="3" t="s">
        <v>207</v>
      </c>
      <c r="AK5" s="3" t="s">
        <v>207</v>
      </c>
      <c r="AL5" s="3" t="s">
        <v>207</v>
      </c>
      <c r="AM5" s="3">
        <v>10</v>
      </c>
      <c r="AN5" s="3" t="s">
        <v>94</v>
      </c>
      <c r="AO5" s="3" t="s">
        <v>95</v>
      </c>
      <c r="AP5" s="3" t="s">
        <v>96</v>
      </c>
      <c r="AQ5" s="3" t="s">
        <v>97</v>
      </c>
      <c r="AR5" s="3" t="s">
        <v>98</v>
      </c>
      <c r="AS5" s="3" t="s">
        <v>99</v>
      </c>
      <c r="AT5" s="3" t="s">
        <v>100</v>
      </c>
      <c r="AU5" s="3" t="s">
        <v>101</v>
      </c>
      <c r="AV5" s="3" t="s">
        <v>207</v>
      </c>
    </row>
    <row r="6" spans="1:48" ht="18" customHeight="1" x14ac:dyDescent="0.2">
      <c r="A6" s="2" t="s">
        <v>125</v>
      </c>
      <c r="B6" s="2" t="s">
        <v>106</v>
      </c>
      <c r="C6" s="2" t="str">
        <f t="shared" si="0"/>
        <v>ai/heroes/phantom_assassin</v>
      </c>
      <c r="D6" s="3" t="str">
        <f t="shared" si="1"/>
        <v>npc_dota_hero_phantom_assassin</v>
      </c>
      <c r="E6" s="3" t="str">
        <f t="shared" si="2"/>
        <v>Hero_Phantom_Assassin.Pick</v>
      </c>
      <c r="F6" s="3" t="s">
        <v>193</v>
      </c>
      <c r="G6" s="3" t="s">
        <v>138</v>
      </c>
      <c r="H6" s="3">
        <v>14</v>
      </c>
      <c r="I6" s="3">
        <v>1.3</v>
      </c>
      <c r="J6" s="3">
        <v>28</v>
      </c>
      <c r="K6" s="3">
        <v>3.4</v>
      </c>
      <c r="L6" s="3">
        <v>12</v>
      </c>
      <c r="M6" s="3">
        <v>1.2</v>
      </c>
      <c r="N6" s="3">
        <v>1.35</v>
      </c>
      <c r="P6" s="3">
        <v>23</v>
      </c>
      <c r="Q6" s="3">
        <v>25</v>
      </c>
      <c r="R6" s="3">
        <v>150</v>
      </c>
      <c r="S6" s="3">
        <v>305</v>
      </c>
      <c r="T6" s="3">
        <v>1.2</v>
      </c>
      <c r="U6" s="3">
        <v>1.44</v>
      </c>
      <c r="V6" s="3">
        <v>0</v>
      </c>
      <c r="AD6" s="3" t="s">
        <v>143</v>
      </c>
      <c r="AE6" s="3" t="s">
        <v>152</v>
      </c>
      <c r="AF6" s="3" t="s">
        <v>158</v>
      </c>
      <c r="AG6" s="3" t="s">
        <v>167</v>
      </c>
      <c r="AH6" s="3" t="s">
        <v>176</v>
      </c>
      <c r="AI6" s="3" t="s">
        <v>207</v>
      </c>
      <c r="AJ6" s="3" t="s">
        <v>207</v>
      </c>
      <c r="AK6" s="3" t="s">
        <v>207</v>
      </c>
      <c r="AL6" s="3" t="s">
        <v>207</v>
      </c>
      <c r="AM6" s="3">
        <v>10</v>
      </c>
      <c r="AN6" s="3" t="s">
        <v>94</v>
      </c>
      <c r="AO6" s="3" t="s">
        <v>95</v>
      </c>
      <c r="AP6" s="3" t="s">
        <v>96</v>
      </c>
      <c r="AQ6" s="3" t="s">
        <v>97</v>
      </c>
      <c r="AR6" s="3" t="s">
        <v>98</v>
      </c>
      <c r="AS6" s="3" t="s">
        <v>99</v>
      </c>
      <c r="AT6" s="3" t="s">
        <v>100</v>
      </c>
      <c r="AU6" s="3" t="s">
        <v>101</v>
      </c>
      <c r="AV6" s="3" t="s">
        <v>207</v>
      </c>
    </row>
    <row r="7" spans="1:48" ht="18" customHeight="1" x14ac:dyDescent="0.2">
      <c r="A7" s="2" t="s">
        <v>126</v>
      </c>
      <c r="B7" s="2" t="s">
        <v>107</v>
      </c>
      <c r="C7" s="2" t="str">
        <f t="shared" si="0"/>
        <v>ai/heroes/rubick</v>
      </c>
      <c r="D7" s="3" t="str">
        <f t="shared" si="1"/>
        <v>npc_dota_hero_rubick</v>
      </c>
      <c r="E7" s="3" t="str">
        <f t="shared" si="2"/>
        <v>Hero_Rubick.Pick</v>
      </c>
      <c r="F7" s="3" t="s">
        <v>194</v>
      </c>
      <c r="G7" s="3" t="s">
        <v>139</v>
      </c>
      <c r="H7" s="3">
        <v>18</v>
      </c>
      <c r="I7" s="3">
        <v>1.6</v>
      </c>
      <c r="J7" s="3">
        <v>13</v>
      </c>
      <c r="K7" s="3">
        <v>1.2</v>
      </c>
      <c r="L7" s="3">
        <v>26</v>
      </c>
      <c r="M7" s="3">
        <v>2.8</v>
      </c>
      <c r="N7" s="3">
        <v>1.8</v>
      </c>
      <c r="P7" s="3">
        <v>17</v>
      </c>
      <c r="Q7" s="3">
        <v>27</v>
      </c>
      <c r="R7" s="3">
        <v>550</v>
      </c>
      <c r="S7" s="3">
        <v>290</v>
      </c>
      <c r="U7" s="3">
        <v>0.16</v>
      </c>
      <c r="V7" s="3">
        <v>0</v>
      </c>
      <c r="AD7" s="3" t="s">
        <v>229</v>
      </c>
      <c r="AE7" s="3" t="s">
        <v>230</v>
      </c>
      <c r="AF7" s="3" t="s">
        <v>231</v>
      </c>
      <c r="AG7" s="3" t="s">
        <v>232</v>
      </c>
      <c r="AH7" s="3" t="s">
        <v>233</v>
      </c>
      <c r="AI7" s="3" t="s">
        <v>207</v>
      </c>
      <c r="AJ7" s="3" t="s">
        <v>207</v>
      </c>
      <c r="AK7" s="3" t="s">
        <v>207</v>
      </c>
      <c r="AL7" s="3" t="s">
        <v>207</v>
      </c>
      <c r="AM7" s="3">
        <v>10</v>
      </c>
      <c r="AN7" s="3" t="s">
        <v>94</v>
      </c>
      <c r="AO7" s="3" t="s">
        <v>95</v>
      </c>
      <c r="AP7" s="3" t="s">
        <v>96</v>
      </c>
      <c r="AQ7" s="3" t="s">
        <v>97</v>
      </c>
      <c r="AR7" s="3" t="s">
        <v>98</v>
      </c>
      <c r="AS7" s="3" t="s">
        <v>99</v>
      </c>
      <c r="AT7" s="3" t="s">
        <v>100</v>
      </c>
      <c r="AU7" s="3" t="s">
        <v>101</v>
      </c>
      <c r="AV7" s="3" t="s">
        <v>207</v>
      </c>
    </row>
    <row r="8" spans="1:48" ht="18" customHeight="1" x14ac:dyDescent="0.2">
      <c r="A8" s="2" t="s">
        <v>127</v>
      </c>
      <c r="B8" s="2" t="s">
        <v>108</v>
      </c>
      <c r="C8" s="2" t="str">
        <f t="shared" si="0"/>
        <v>ai/heroes/juggernaut</v>
      </c>
      <c r="D8" s="3" t="str">
        <f t="shared" si="1"/>
        <v>npc_dota_hero_juggernaut</v>
      </c>
      <c r="E8" s="3" t="str">
        <f t="shared" si="2"/>
        <v>Hero_Juggernaut.Pick</v>
      </c>
      <c r="F8" s="3" t="s">
        <v>195</v>
      </c>
      <c r="G8" s="3" t="s">
        <v>138</v>
      </c>
      <c r="H8" s="3">
        <v>17</v>
      </c>
      <c r="I8" s="3">
        <v>2.4</v>
      </c>
      <c r="J8" s="3">
        <v>22</v>
      </c>
      <c r="K8" s="3">
        <v>3</v>
      </c>
      <c r="L8" s="3">
        <v>15</v>
      </c>
      <c r="M8" s="3">
        <v>2.1</v>
      </c>
      <c r="N8" s="3">
        <v>1.6</v>
      </c>
      <c r="P8" s="3">
        <v>22</v>
      </c>
      <c r="Q8" s="3">
        <v>26</v>
      </c>
      <c r="R8" s="3">
        <v>150</v>
      </c>
      <c r="S8" s="3">
        <v>295</v>
      </c>
      <c r="U8" s="3">
        <v>1.24</v>
      </c>
      <c r="V8" s="3">
        <v>0</v>
      </c>
      <c r="AD8" s="3" t="s">
        <v>219</v>
      </c>
      <c r="AE8" s="3" t="s">
        <v>153</v>
      </c>
      <c r="AF8" s="3" t="s">
        <v>220</v>
      </c>
      <c r="AG8" s="3" t="s">
        <v>222</v>
      </c>
      <c r="AH8" s="3" t="s">
        <v>223</v>
      </c>
      <c r="AI8" s="3" t="s">
        <v>221</v>
      </c>
      <c r="AJ8" s="3" t="s">
        <v>207</v>
      </c>
      <c r="AK8" s="3" t="s">
        <v>207</v>
      </c>
      <c r="AL8" s="3" t="s">
        <v>207</v>
      </c>
      <c r="AM8" s="3">
        <v>10</v>
      </c>
      <c r="AN8" s="3" t="s">
        <v>94</v>
      </c>
      <c r="AO8" s="3" t="s">
        <v>95</v>
      </c>
      <c r="AP8" s="3" t="s">
        <v>96</v>
      </c>
      <c r="AQ8" s="3" t="s">
        <v>97</v>
      </c>
      <c r="AR8" s="3" t="s">
        <v>98</v>
      </c>
      <c r="AS8" s="3" t="s">
        <v>99</v>
      </c>
      <c r="AT8" s="3" t="s">
        <v>100</v>
      </c>
      <c r="AU8" s="3" t="s">
        <v>101</v>
      </c>
      <c r="AV8" s="3" t="s">
        <v>207</v>
      </c>
    </row>
    <row r="9" spans="1:48" ht="18" customHeight="1" x14ac:dyDescent="0.2">
      <c r="A9" s="2" t="s">
        <v>128</v>
      </c>
      <c r="B9" s="2" t="s">
        <v>109</v>
      </c>
      <c r="C9" s="2" t="str">
        <f t="shared" si="0"/>
        <v>ai/heroes/antimage</v>
      </c>
      <c r="D9" s="3" t="str">
        <f t="shared" si="1"/>
        <v>npc_dota_hero_antimage</v>
      </c>
      <c r="E9" s="3" t="str">
        <f t="shared" si="2"/>
        <v>Hero_Antimage.Pick</v>
      </c>
      <c r="F9" s="3" t="s">
        <v>196</v>
      </c>
      <c r="G9" s="3" t="s">
        <v>138</v>
      </c>
      <c r="H9" s="3">
        <v>20</v>
      </c>
      <c r="I9" s="3">
        <v>2.8</v>
      </c>
      <c r="J9" s="3">
        <v>23</v>
      </c>
      <c r="K9" s="3">
        <v>2.8</v>
      </c>
      <c r="L9" s="3">
        <v>15</v>
      </c>
      <c r="M9" s="3">
        <v>2</v>
      </c>
      <c r="N9" s="3">
        <v>1.55</v>
      </c>
      <c r="P9" s="3">
        <v>27</v>
      </c>
      <c r="Q9" s="3">
        <v>31</v>
      </c>
      <c r="R9" s="3">
        <v>150</v>
      </c>
      <c r="S9" s="3">
        <v>310</v>
      </c>
      <c r="U9" s="3">
        <v>0.62</v>
      </c>
      <c r="V9" s="3">
        <v>0</v>
      </c>
      <c r="AB9" s="3">
        <v>900</v>
      </c>
      <c r="AD9" s="3" t="s">
        <v>144</v>
      </c>
      <c r="AE9" s="3" t="s">
        <v>154</v>
      </c>
      <c r="AF9" s="3" t="s">
        <v>159</v>
      </c>
      <c r="AG9" s="3" t="s">
        <v>168</v>
      </c>
      <c r="AH9" s="3" t="s">
        <v>177</v>
      </c>
      <c r="AI9" s="3" t="s">
        <v>207</v>
      </c>
      <c r="AJ9" s="3" t="s">
        <v>207</v>
      </c>
      <c r="AK9" s="3" t="s">
        <v>207</v>
      </c>
      <c r="AL9" s="3" t="s">
        <v>207</v>
      </c>
      <c r="AM9" s="3">
        <v>10</v>
      </c>
      <c r="AN9" s="3" t="s">
        <v>94</v>
      </c>
      <c r="AO9" s="3" t="s">
        <v>95</v>
      </c>
      <c r="AP9" s="3" t="s">
        <v>96</v>
      </c>
      <c r="AQ9" s="3" t="s">
        <v>97</v>
      </c>
      <c r="AR9" s="3" t="s">
        <v>98</v>
      </c>
      <c r="AS9" s="3" t="s">
        <v>99</v>
      </c>
      <c r="AT9" s="3" t="s">
        <v>100</v>
      </c>
      <c r="AU9" s="3" t="s">
        <v>101</v>
      </c>
      <c r="AV9" s="3" t="s">
        <v>207</v>
      </c>
    </row>
    <row r="10" spans="1:48" ht="18" customHeight="1" x14ac:dyDescent="0.2">
      <c r="A10" s="2" t="s">
        <v>129</v>
      </c>
      <c r="B10" s="2" t="s">
        <v>110</v>
      </c>
      <c r="C10" s="2" t="str">
        <f t="shared" si="0"/>
        <v>ai/heroes/lina</v>
      </c>
      <c r="D10" s="3" t="str">
        <f t="shared" si="1"/>
        <v>npc_dota_hero_lina</v>
      </c>
      <c r="E10" s="3" t="str">
        <f t="shared" si="2"/>
        <v>Hero_Lina.Pick</v>
      </c>
      <c r="F10" s="3" t="s">
        <v>197</v>
      </c>
      <c r="G10" s="3" t="s">
        <v>139</v>
      </c>
      <c r="H10" s="3">
        <v>18</v>
      </c>
      <c r="I10" s="3">
        <v>2.4</v>
      </c>
      <c r="J10" s="3">
        <v>16</v>
      </c>
      <c r="K10" s="3">
        <v>1.8</v>
      </c>
      <c r="L10" s="3">
        <v>24</v>
      </c>
      <c r="M10" s="3">
        <v>2.4</v>
      </c>
      <c r="N10" s="3">
        <v>1.6</v>
      </c>
      <c r="P10" s="3">
        <v>16</v>
      </c>
      <c r="Q10" s="3">
        <v>28</v>
      </c>
      <c r="R10" s="3">
        <v>700</v>
      </c>
      <c r="S10" s="3">
        <v>295</v>
      </c>
      <c r="U10" s="3">
        <v>0.24</v>
      </c>
      <c r="V10" s="3">
        <v>0</v>
      </c>
      <c r="AD10" s="3" t="s">
        <v>145</v>
      </c>
      <c r="AE10" s="3" t="s">
        <v>155</v>
      </c>
      <c r="AF10" s="3" t="s">
        <v>160</v>
      </c>
      <c r="AG10" s="3" t="s">
        <v>169</v>
      </c>
      <c r="AH10" s="3" t="s">
        <v>178</v>
      </c>
      <c r="AI10" s="3" t="s">
        <v>207</v>
      </c>
      <c r="AJ10" s="3" t="s">
        <v>207</v>
      </c>
      <c r="AK10" s="3" t="s">
        <v>207</v>
      </c>
      <c r="AL10" s="3" t="s">
        <v>207</v>
      </c>
      <c r="AM10" s="3">
        <v>10</v>
      </c>
      <c r="AN10" s="3" t="s">
        <v>94</v>
      </c>
      <c r="AO10" s="3" t="s">
        <v>95</v>
      </c>
      <c r="AP10" s="3" t="s">
        <v>96</v>
      </c>
      <c r="AQ10" s="3" t="s">
        <v>97</v>
      </c>
      <c r="AR10" s="3" t="s">
        <v>98</v>
      </c>
      <c r="AS10" s="3" t="s">
        <v>99</v>
      </c>
      <c r="AT10" s="3" t="s">
        <v>100</v>
      </c>
      <c r="AU10" s="3" t="s">
        <v>101</v>
      </c>
      <c r="AV10" s="3" t="s">
        <v>207</v>
      </c>
    </row>
    <row r="11" spans="1:48" ht="18" customHeight="1" x14ac:dyDescent="0.2">
      <c r="A11" s="2" t="s">
        <v>130</v>
      </c>
      <c r="B11" s="4" t="s">
        <v>111</v>
      </c>
      <c r="C11" s="2" t="str">
        <f t="shared" si="0"/>
        <v>ai/heroes/nevermore</v>
      </c>
      <c r="D11" s="3" t="str">
        <f t="shared" si="1"/>
        <v>npc_dota_hero_nevermore</v>
      </c>
      <c r="E11" s="3" t="str">
        <f t="shared" si="2"/>
        <v>Hero_Nevermore.Pick</v>
      </c>
      <c r="F11" s="3" t="s">
        <v>198</v>
      </c>
      <c r="G11" s="3" t="s">
        <v>69</v>
      </c>
      <c r="H11" s="3">
        <v>22</v>
      </c>
      <c r="I11" s="3">
        <v>3</v>
      </c>
      <c r="J11" s="3">
        <v>20</v>
      </c>
      <c r="K11" s="3">
        <v>2.1</v>
      </c>
      <c r="L11" s="3">
        <v>17</v>
      </c>
      <c r="M11" s="3">
        <v>2.1</v>
      </c>
      <c r="N11" s="3">
        <v>1.5</v>
      </c>
      <c r="P11" s="3">
        <v>15</v>
      </c>
      <c r="Q11" s="3">
        <v>21</v>
      </c>
      <c r="R11" s="3">
        <v>600</v>
      </c>
      <c r="S11" s="3">
        <v>310</v>
      </c>
      <c r="U11" s="3">
        <v>0.12</v>
      </c>
      <c r="V11" s="3">
        <v>0</v>
      </c>
      <c r="AC11" s="3" t="s">
        <v>123</v>
      </c>
      <c r="AD11" s="3" t="s">
        <v>224</v>
      </c>
      <c r="AE11" s="3" t="s">
        <v>225</v>
      </c>
      <c r="AF11" s="3" t="s">
        <v>226</v>
      </c>
      <c r="AG11" s="3" t="s">
        <v>227</v>
      </c>
      <c r="AH11" s="3" t="s">
        <v>228</v>
      </c>
      <c r="AI11" s="3" t="s">
        <v>207</v>
      </c>
      <c r="AJ11" s="3" t="s">
        <v>207</v>
      </c>
      <c r="AK11" s="3" t="s">
        <v>207</v>
      </c>
      <c r="AL11" s="3" t="s">
        <v>207</v>
      </c>
      <c r="AM11" s="3">
        <v>10</v>
      </c>
      <c r="AN11" s="3" t="s">
        <v>94</v>
      </c>
      <c r="AO11" s="3" t="s">
        <v>95</v>
      </c>
      <c r="AP11" s="3" t="s">
        <v>96</v>
      </c>
      <c r="AQ11" s="3" t="s">
        <v>97</v>
      </c>
      <c r="AR11" s="3" t="s">
        <v>98</v>
      </c>
      <c r="AS11" s="3" t="s">
        <v>99</v>
      </c>
      <c r="AT11" s="3" t="s">
        <v>100</v>
      </c>
      <c r="AU11" s="3" t="s">
        <v>101</v>
      </c>
      <c r="AV11" s="3" t="s">
        <v>207</v>
      </c>
    </row>
    <row r="12" spans="1:48" ht="18" customHeight="1" x14ac:dyDescent="0.2">
      <c r="A12" s="2" t="s">
        <v>131</v>
      </c>
      <c r="B12" s="2" t="s">
        <v>113</v>
      </c>
      <c r="C12" s="2" t="str">
        <f t="shared" si="0"/>
        <v>ai/heroes/legion_commander</v>
      </c>
      <c r="D12" s="3" t="str">
        <f t="shared" si="1"/>
        <v>npc_dota_hero_legion_commander</v>
      </c>
      <c r="E12" s="3" t="str">
        <f t="shared" si="2"/>
        <v>Hero_Legion_Commander.Pick</v>
      </c>
      <c r="F12" s="3" t="s">
        <v>200</v>
      </c>
      <c r="G12" s="3" t="s">
        <v>69</v>
      </c>
      <c r="H12" s="3">
        <v>22</v>
      </c>
      <c r="I12" s="3">
        <v>2.2000000000000002</v>
      </c>
      <c r="J12" s="3">
        <v>16</v>
      </c>
      <c r="K12" s="3">
        <v>1.6</v>
      </c>
      <c r="L12" s="3">
        <v>20</v>
      </c>
      <c r="M12" s="3">
        <v>2</v>
      </c>
      <c r="N12" s="3">
        <v>1.5</v>
      </c>
      <c r="P12" s="3">
        <v>35</v>
      </c>
      <c r="Q12" s="3">
        <v>39</v>
      </c>
      <c r="R12" s="3">
        <v>150</v>
      </c>
      <c r="S12" s="3">
        <v>320</v>
      </c>
      <c r="U12" s="3">
        <v>0.81</v>
      </c>
      <c r="V12" s="3">
        <v>0</v>
      </c>
      <c r="AD12" s="3" t="s">
        <v>146</v>
      </c>
      <c r="AE12" s="3" t="s">
        <v>156</v>
      </c>
      <c r="AF12" s="3" t="s">
        <v>161</v>
      </c>
      <c r="AG12" s="3" t="s">
        <v>170</v>
      </c>
      <c r="AH12" s="3" t="s">
        <v>179</v>
      </c>
      <c r="AI12" s="3" t="s">
        <v>207</v>
      </c>
      <c r="AJ12" s="3" t="s">
        <v>207</v>
      </c>
      <c r="AK12" s="3" t="s">
        <v>207</v>
      </c>
      <c r="AL12" s="3" t="s">
        <v>207</v>
      </c>
      <c r="AM12" s="3">
        <v>10</v>
      </c>
      <c r="AN12" s="3" t="s">
        <v>94</v>
      </c>
      <c r="AO12" s="3" t="s">
        <v>95</v>
      </c>
      <c r="AP12" s="3" t="s">
        <v>96</v>
      </c>
      <c r="AQ12" s="3" t="s">
        <v>97</v>
      </c>
      <c r="AR12" s="3" t="s">
        <v>98</v>
      </c>
      <c r="AS12" s="3" t="s">
        <v>99</v>
      </c>
      <c r="AT12" s="3" t="s">
        <v>100</v>
      </c>
      <c r="AU12" s="3" t="s">
        <v>101</v>
      </c>
      <c r="AV12" s="3" t="s">
        <v>207</v>
      </c>
    </row>
    <row r="13" spans="1:48" ht="18" customHeight="1" x14ac:dyDescent="0.2">
      <c r="A13" s="2" t="s">
        <v>132</v>
      </c>
      <c r="B13" s="2" t="s">
        <v>112</v>
      </c>
      <c r="C13" s="2" t="str">
        <f t="shared" si="0"/>
        <v>ai/heroes/ember_spirit</v>
      </c>
      <c r="D13" s="3" t="str">
        <f t="shared" si="1"/>
        <v>npc_dota_hero_ember_spirit</v>
      </c>
      <c r="E13" s="3" t="str">
        <f t="shared" si="2"/>
        <v>Hero_Ember_Spirit.Pick</v>
      </c>
      <c r="F13" s="3" t="s">
        <v>201</v>
      </c>
      <c r="G13" s="3" t="s">
        <v>138</v>
      </c>
      <c r="H13" s="3">
        <v>18</v>
      </c>
      <c r="I13" s="3">
        <v>1.6</v>
      </c>
      <c r="J13" s="3">
        <v>25</v>
      </c>
      <c r="K13" s="3">
        <v>2.9</v>
      </c>
      <c r="L13" s="3">
        <v>16</v>
      </c>
      <c r="M13" s="3">
        <v>1.4</v>
      </c>
      <c r="N13" s="3">
        <v>1.8</v>
      </c>
      <c r="P13" s="3">
        <v>30</v>
      </c>
      <c r="Q13" s="3">
        <v>34</v>
      </c>
      <c r="R13" s="3">
        <v>150</v>
      </c>
      <c r="S13" s="3">
        <v>305</v>
      </c>
      <c r="U13" s="3">
        <v>0.18</v>
      </c>
      <c r="V13" s="3">
        <v>0</v>
      </c>
      <c r="AD13" s="3" t="s">
        <v>147</v>
      </c>
      <c r="AE13" s="3" t="s">
        <v>114</v>
      </c>
      <c r="AF13" s="3" t="s">
        <v>162</v>
      </c>
      <c r="AG13" s="3" t="s">
        <v>171</v>
      </c>
      <c r="AH13" s="3" t="s">
        <v>180</v>
      </c>
      <c r="AI13" s="3" t="s">
        <v>207</v>
      </c>
      <c r="AJ13" s="3" t="s">
        <v>207</v>
      </c>
      <c r="AK13" s="3" t="s">
        <v>207</v>
      </c>
      <c r="AL13" s="3" t="s">
        <v>207</v>
      </c>
      <c r="AM13" s="3">
        <v>10</v>
      </c>
      <c r="AN13" s="3" t="s">
        <v>94</v>
      </c>
      <c r="AO13" s="3" t="s">
        <v>95</v>
      </c>
      <c r="AP13" s="3" t="s">
        <v>96</v>
      </c>
      <c r="AQ13" s="3" t="s">
        <v>97</v>
      </c>
      <c r="AR13" s="3" t="s">
        <v>98</v>
      </c>
      <c r="AS13" s="3" t="s">
        <v>99</v>
      </c>
      <c r="AT13" s="3" t="s">
        <v>100</v>
      </c>
      <c r="AU13" s="3" t="s">
        <v>101</v>
      </c>
      <c r="AV13" s="3" t="s">
        <v>207</v>
      </c>
    </row>
    <row r="14" spans="1:48" ht="18" customHeight="1" x14ac:dyDescent="0.2">
      <c r="A14" s="2" t="s">
        <v>133</v>
      </c>
      <c r="B14" s="2" t="s">
        <v>115</v>
      </c>
      <c r="C14" s="2" t="str">
        <f t="shared" si="0"/>
        <v>ai/heroes/templar_assassin</v>
      </c>
      <c r="D14" s="3" t="str">
        <f t="shared" si="1"/>
        <v>npc_dota_hero_templar_assassin</v>
      </c>
      <c r="E14" s="3" t="str">
        <f t="shared" si="2"/>
        <v>Hero_Templar_Assassin.Pick</v>
      </c>
      <c r="F14" s="3" t="s">
        <v>202</v>
      </c>
      <c r="G14" s="3" t="s">
        <v>138</v>
      </c>
      <c r="H14" s="3">
        <v>22</v>
      </c>
      <c r="I14" s="3">
        <v>2.6</v>
      </c>
      <c r="J14" s="3">
        <v>28</v>
      </c>
      <c r="K14" s="3">
        <v>2.8</v>
      </c>
      <c r="L14" s="3">
        <v>24</v>
      </c>
      <c r="M14" s="3">
        <v>2.4</v>
      </c>
      <c r="N14" s="3">
        <v>1.5</v>
      </c>
      <c r="P14" s="3">
        <v>30</v>
      </c>
      <c r="Q14" s="3">
        <v>36</v>
      </c>
      <c r="R14" s="3">
        <v>350</v>
      </c>
      <c r="S14" s="3">
        <v>300</v>
      </c>
      <c r="U14" s="3">
        <v>1.88</v>
      </c>
      <c r="V14" s="3">
        <v>0</v>
      </c>
      <c r="AC14" s="3" t="s">
        <v>123</v>
      </c>
      <c r="AD14" s="3" t="s">
        <v>148</v>
      </c>
      <c r="AE14" s="3" t="s">
        <v>116</v>
      </c>
      <c r="AF14" s="3" t="s">
        <v>163</v>
      </c>
      <c r="AG14" s="3" t="s">
        <v>172</v>
      </c>
      <c r="AH14" s="3" t="s">
        <v>181</v>
      </c>
      <c r="AI14" s="3" t="s">
        <v>207</v>
      </c>
      <c r="AJ14" s="3" t="s">
        <v>207</v>
      </c>
      <c r="AK14" s="3" t="s">
        <v>207</v>
      </c>
      <c r="AL14" s="3" t="s">
        <v>207</v>
      </c>
      <c r="AM14" s="3">
        <v>10</v>
      </c>
      <c r="AN14" s="3" t="s">
        <v>94</v>
      </c>
      <c r="AO14" s="3" t="s">
        <v>95</v>
      </c>
      <c r="AP14" s="3" t="s">
        <v>96</v>
      </c>
      <c r="AQ14" s="3" t="s">
        <v>97</v>
      </c>
      <c r="AR14" s="3" t="s">
        <v>98</v>
      </c>
      <c r="AS14" s="3" t="s">
        <v>99</v>
      </c>
      <c r="AT14" s="3" t="s">
        <v>100</v>
      </c>
      <c r="AU14" s="3" t="s">
        <v>101</v>
      </c>
      <c r="AV14" s="3" t="s">
        <v>207</v>
      </c>
    </row>
    <row r="15" spans="1:48" ht="18" customHeight="1" x14ac:dyDescent="0.2">
      <c r="A15" s="2" t="s">
        <v>134</v>
      </c>
      <c r="B15" s="2" t="s">
        <v>117</v>
      </c>
      <c r="C15" s="2" t="str">
        <f t="shared" si="0"/>
        <v>ai/heroes/crystal_maiden</v>
      </c>
      <c r="D15" s="3" t="str">
        <f t="shared" si="1"/>
        <v>npc_dota_hero_crystal_maiden</v>
      </c>
      <c r="E15" s="3" t="str">
        <f t="shared" si="2"/>
        <v>Hero_Crystal_Maiden.Pick</v>
      </c>
      <c r="F15" s="3" t="s">
        <v>203</v>
      </c>
      <c r="G15" s="3" t="s">
        <v>139</v>
      </c>
      <c r="H15" s="3">
        <v>12</v>
      </c>
      <c r="I15" s="3">
        <v>1.3</v>
      </c>
      <c r="J15" s="3">
        <v>15</v>
      </c>
      <c r="K15" s="3">
        <v>1.6</v>
      </c>
      <c r="L15" s="3">
        <v>21</v>
      </c>
      <c r="M15" s="3">
        <v>2.2000000000000002</v>
      </c>
      <c r="N15" s="3">
        <v>1.8</v>
      </c>
      <c r="P15" s="3">
        <v>19</v>
      </c>
      <c r="Q15" s="3">
        <v>25</v>
      </c>
      <c r="R15" s="3">
        <v>600</v>
      </c>
      <c r="S15" s="3">
        <v>300</v>
      </c>
      <c r="U15" s="3">
        <v>0</v>
      </c>
      <c r="V15" s="3">
        <v>0</v>
      </c>
      <c r="AD15" s="3" t="s">
        <v>239</v>
      </c>
      <c r="AE15" s="3" t="s">
        <v>244</v>
      </c>
      <c r="AF15" s="3" t="s">
        <v>245</v>
      </c>
      <c r="AG15" s="3" t="s">
        <v>246</v>
      </c>
      <c r="AH15" s="3" t="s">
        <v>247</v>
      </c>
      <c r="AI15" s="3" t="s">
        <v>207</v>
      </c>
      <c r="AJ15" s="3" t="s">
        <v>207</v>
      </c>
      <c r="AK15" s="3" t="s">
        <v>207</v>
      </c>
      <c r="AL15" s="3" t="s">
        <v>207</v>
      </c>
      <c r="AM15" s="3">
        <v>10</v>
      </c>
      <c r="AN15" s="3" t="s">
        <v>94</v>
      </c>
      <c r="AO15" s="3" t="s">
        <v>95</v>
      </c>
      <c r="AP15" s="3" t="s">
        <v>96</v>
      </c>
      <c r="AQ15" s="3" t="s">
        <v>97</v>
      </c>
      <c r="AR15" s="3" t="s">
        <v>98</v>
      </c>
      <c r="AS15" s="3" t="s">
        <v>99</v>
      </c>
      <c r="AT15" s="3" t="s">
        <v>100</v>
      </c>
      <c r="AU15" s="3" t="s">
        <v>101</v>
      </c>
      <c r="AV15" s="3" t="s">
        <v>207</v>
      </c>
    </row>
    <row r="16" spans="1:48" ht="18" customHeight="1" x14ac:dyDescent="0.2">
      <c r="A16" s="2" t="s">
        <v>135</v>
      </c>
      <c r="B16" s="2" t="s">
        <v>118</v>
      </c>
      <c r="C16" s="2" t="str">
        <f t="shared" si="0"/>
        <v>ai/heroes/monkey_king</v>
      </c>
      <c r="D16" s="3" t="str">
        <f t="shared" si="1"/>
        <v>npc_dota_hero_monkey_king</v>
      </c>
      <c r="E16" s="3" t="str">
        <f t="shared" si="2"/>
        <v>Hero_Monkey_King.Pick</v>
      </c>
      <c r="F16" s="3" t="s">
        <v>204</v>
      </c>
      <c r="G16" s="3" t="s">
        <v>138</v>
      </c>
      <c r="H16" s="3">
        <v>26</v>
      </c>
      <c r="I16" s="3">
        <v>2.4</v>
      </c>
      <c r="J16" s="3">
        <v>30</v>
      </c>
      <c r="K16" s="3">
        <v>2.6</v>
      </c>
      <c r="L16" s="3">
        <v>18</v>
      </c>
      <c r="M16" s="3">
        <v>2.2000000000000002</v>
      </c>
      <c r="N16" s="3">
        <v>1.65</v>
      </c>
      <c r="P16" s="3">
        <v>29</v>
      </c>
      <c r="Q16" s="3">
        <v>35</v>
      </c>
      <c r="R16" s="3">
        <v>300</v>
      </c>
      <c r="S16" s="3">
        <v>300</v>
      </c>
      <c r="U16" s="3">
        <v>0.65</v>
      </c>
      <c r="V16" s="3">
        <v>0</v>
      </c>
      <c r="AD16" s="3" t="s">
        <v>149</v>
      </c>
      <c r="AE16" s="3" t="s">
        <v>157</v>
      </c>
      <c r="AF16" s="3" t="s">
        <v>164</v>
      </c>
      <c r="AG16" s="3" t="s">
        <v>173</v>
      </c>
      <c r="AH16" s="3" t="s">
        <v>182</v>
      </c>
      <c r="AI16" s="3" t="s">
        <v>207</v>
      </c>
      <c r="AJ16" s="3" t="s">
        <v>207</v>
      </c>
      <c r="AK16" s="3" t="s">
        <v>207</v>
      </c>
      <c r="AL16" s="3" t="s">
        <v>207</v>
      </c>
      <c r="AM16" s="3">
        <v>10</v>
      </c>
      <c r="AN16" s="3" t="s">
        <v>94</v>
      </c>
      <c r="AO16" s="3" t="s">
        <v>95</v>
      </c>
      <c r="AP16" s="3" t="s">
        <v>96</v>
      </c>
      <c r="AQ16" s="3" t="s">
        <v>97</v>
      </c>
      <c r="AR16" s="3" t="s">
        <v>98</v>
      </c>
      <c r="AS16" s="3" t="s">
        <v>99</v>
      </c>
      <c r="AT16" s="3" t="s">
        <v>100</v>
      </c>
      <c r="AU16" s="3" t="s">
        <v>101</v>
      </c>
      <c r="AV16" s="3" t="s">
        <v>207</v>
      </c>
    </row>
    <row r="17" spans="1:48" ht="18" customHeight="1" x14ac:dyDescent="0.2">
      <c r="A17" s="2" t="s">
        <v>136</v>
      </c>
      <c r="B17" s="2" t="s">
        <v>119</v>
      </c>
      <c r="C17" s="2" t="str">
        <f t="shared" si="0"/>
        <v>ai/heroes/spectre</v>
      </c>
      <c r="D17" s="3" t="str">
        <f t="shared" si="1"/>
        <v>npc_dota_hero_spectre</v>
      </c>
      <c r="E17" s="3" t="str">
        <f t="shared" si="2"/>
        <v>Hero_Spectre.Pick</v>
      </c>
      <c r="F17" s="3" t="s">
        <v>205</v>
      </c>
      <c r="G17" s="3" t="s">
        <v>69</v>
      </c>
      <c r="H17" s="3">
        <v>36</v>
      </c>
      <c r="I17" s="3">
        <v>2.4</v>
      </c>
      <c r="J17" s="3">
        <v>14</v>
      </c>
      <c r="K17" s="3">
        <v>3.2</v>
      </c>
      <c r="L17" s="3">
        <v>20</v>
      </c>
      <c r="M17" s="3">
        <v>2.2000000000000002</v>
      </c>
      <c r="N17" s="3">
        <v>1.7</v>
      </c>
      <c r="P17" s="3">
        <v>38</v>
      </c>
      <c r="Q17" s="3">
        <v>45</v>
      </c>
      <c r="R17" s="3">
        <v>150</v>
      </c>
      <c r="S17" s="3">
        <v>310</v>
      </c>
      <c r="U17" s="3">
        <v>4.4400000000000004</v>
      </c>
      <c r="V17" s="3">
        <v>0</v>
      </c>
      <c r="AC17" s="3" t="s">
        <v>123</v>
      </c>
      <c r="AD17" s="3" t="s">
        <v>150</v>
      </c>
      <c r="AE17" s="3" t="s">
        <v>120</v>
      </c>
      <c r="AF17" s="3" t="s">
        <v>165</v>
      </c>
      <c r="AG17" s="3" t="s">
        <v>174</v>
      </c>
      <c r="AH17" s="3" t="s">
        <v>183</v>
      </c>
      <c r="AI17" s="3" t="s">
        <v>218</v>
      </c>
      <c r="AJ17" s="3" t="s">
        <v>207</v>
      </c>
      <c r="AK17" s="3" t="s">
        <v>207</v>
      </c>
      <c r="AL17" s="3" t="s">
        <v>207</v>
      </c>
      <c r="AM17" s="3">
        <v>10</v>
      </c>
      <c r="AN17" s="3" t="s">
        <v>94</v>
      </c>
      <c r="AO17" s="3" t="s">
        <v>95</v>
      </c>
      <c r="AP17" s="3" t="s">
        <v>96</v>
      </c>
      <c r="AQ17" s="3" t="s">
        <v>97</v>
      </c>
      <c r="AR17" s="3" t="s">
        <v>98</v>
      </c>
      <c r="AS17" s="3" t="s">
        <v>99</v>
      </c>
      <c r="AT17" s="3" t="s">
        <v>100</v>
      </c>
      <c r="AU17" s="3" t="s">
        <v>101</v>
      </c>
      <c r="AV17" s="3" t="s">
        <v>207</v>
      </c>
    </row>
    <row r="18" spans="1:48" ht="18" customHeight="1" x14ac:dyDescent="0.2">
      <c r="A18" s="2" t="s">
        <v>137</v>
      </c>
      <c r="B18" s="2" t="s">
        <v>121</v>
      </c>
      <c r="C18" s="2" t="str">
        <f t="shared" si="0"/>
        <v>ai/heroes/oracle</v>
      </c>
      <c r="D18" s="3" t="str">
        <f t="shared" si="1"/>
        <v>npc_dota_hero_oracle</v>
      </c>
      <c r="E18" s="3" t="str">
        <f t="shared" si="2"/>
        <v>Hero_Oracle.Pick</v>
      </c>
      <c r="F18" s="3" t="s">
        <v>206</v>
      </c>
      <c r="G18" s="3" t="s">
        <v>139</v>
      </c>
      <c r="H18" s="3">
        <v>20</v>
      </c>
      <c r="I18" s="3">
        <v>2.2999999999999998</v>
      </c>
      <c r="J18" s="3">
        <v>13</v>
      </c>
      <c r="K18" s="3">
        <v>1.8</v>
      </c>
      <c r="L18" s="3">
        <v>26</v>
      </c>
      <c r="M18" s="3">
        <v>2.6</v>
      </c>
      <c r="N18" s="3">
        <v>1.3</v>
      </c>
      <c r="P18" s="3">
        <v>13</v>
      </c>
      <c r="Q18" s="3">
        <v>20</v>
      </c>
      <c r="R18" s="3">
        <v>620</v>
      </c>
      <c r="S18" s="3">
        <v>295</v>
      </c>
      <c r="U18" s="3">
        <v>0</v>
      </c>
      <c r="V18" s="3">
        <v>0</v>
      </c>
      <c r="AD18" s="3" t="s">
        <v>151</v>
      </c>
      <c r="AE18" s="3" t="s">
        <v>122</v>
      </c>
      <c r="AF18" s="3" t="s">
        <v>166</v>
      </c>
      <c r="AG18" s="3" t="s">
        <v>175</v>
      </c>
      <c r="AH18" s="3" t="s">
        <v>184</v>
      </c>
      <c r="AI18" s="3" t="s">
        <v>207</v>
      </c>
      <c r="AJ18" s="3" t="s">
        <v>207</v>
      </c>
      <c r="AK18" s="3" t="s">
        <v>207</v>
      </c>
      <c r="AL18" s="3" t="s">
        <v>207</v>
      </c>
      <c r="AM18" s="3">
        <v>10</v>
      </c>
      <c r="AN18" s="3" t="s">
        <v>94</v>
      </c>
      <c r="AO18" s="3" t="s">
        <v>95</v>
      </c>
      <c r="AP18" s="3" t="s">
        <v>96</v>
      </c>
      <c r="AQ18" s="3" t="s">
        <v>97</v>
      </c>
      <c r="AR18" s="3" t="s">
        <v>98</v>
      </c>
      <c r="AS18" s="3" t="s">
        <v>99</v>
      </c>
      <c r="AT18" s="3" t="s">
        <v>100</v>
      </c>
      <c r="AU18" s="3" t="s">
        <v>101</v>
      </c>
      <c r="AV18" s="3" t="s">
        <v>207</v>
      </c>
    </row>
  </sheetData>
  <phoneticPr fontId="1" type="noConversion"/>
  <conditionalFormatting sqref="B1048470:C1048576">
    <cfRule type="expression" dxfId="33" priority="5">
      <formula>MOD(ROW(A1048469),2)&lt;1</formula>
    </cfRule>
    <cfRule type="expression" dxfId="32" priority="6">
      <formula>MOD(ROW(B1048470),2)&lt;1</formula>
    </cfRule>
  </conditionalFormatting>
  <conditionalFormatting sqref="XEI1048470:XFD1048576 P1048470:T1048576 D1048470:F1048576">
    <cfRule type="expression" dxfId="31" priority="10">
      <formula>MOD(ROW(B1048469),2)&lt;1</formula>
    </cfRule>
    <cfRule type="expression" dxfId="30" priority="11">
      <formula>MOD(ROW(D1048470),2)&lt;1</formula>
    </cfRule>
  </conditionalFormatting>
  <conditionalFormatting sqref="A3:A1048576">
    <cfRule type="expression" dxfId="29" priority="12">
      <formula>MOD(ROW(#REF!),2)&lt;1</formula>
    </cfRule>
    <cfRule type="expression" dxfId="28" priority="13">
      <formula>MOD(ROW(A3),2)&lt;1</formula>
    </cfRule>
  </conditionalFormatting>
  <conditionalFormatting sqref="P3:Z1048469 B3:N3 B19:N1048469 B12:B18 B4:B10 C4:N18">
    <cfRule type="expression" dxfId="27" priority="18">
      <formula>MOD(ROW(#REF!),2)&lt;1</formula>
    </cfRule>
    <cfRule type="expression" dxfId="26" priority="19">
      <formula>MOD(ROW(B3),2)&lt;1</formula>
    </cfRule>
  </conditionalFormatting>
  <conditionalFormatting sqref="AW3:XFD1048469 AW1048470:XEH1048576 AA3:AU1048576">
    <cfRule type="expression" dxfId="25" priority="24">
      <formula>MOD(ROW(#REF!),2)&lt;1</formula>
    </cfRule>
    <cfRule type="expression" dxfId="24" priority="25">
      <formula>MOD(ROW(AA3),2)&lt;1</formula>
    </cfRule>
  </conditionalFormatting>
  <conditionalFormatting sqref="O3:O1048576">
    <cfRule type="expression" dxfId="23" priority="3">
      <formula>MOD(ROW(#REF!),2)&lt;1</formula>
    </cfRule>
    <cfRule type="expression" dxfId="22" priority="4">
      <formula>MOD(ROW(O3),2)&lt;1</formula>
    </cfRule>
  </conditionalFormatting>
  <conditionalFormatting sqref="U1048470:Z1048576 G1048470:N1048576">
    <cfRule type="expression" dxfId="21" priority="28">
      <formula>MOD(ROW(D1048469),2)&lt;1</formula>
    </cfRule>
    <cfRule type="expression" dxfId="20" priority="29">
      <formula>MOD(ROW(G1048470),2)&lt;1</formula>
    </cfRule>
  </conditionalFormatting>
  <conditionalFormatting sqref="AV3:AV1048576">
    <cfRule type="expression" dxfId="19" priority="1">
      <formula>MOD(ROW(#REF!),2)&lt;1</formula>
    </cfRule>
    <cfRule type="expression" dxfId="18" priority="2">
      <formula>MOD(ROW(AV3),2)&lt;1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F77550-9844-42CB-9879-88E823960874}">
          <x14:formula1>
            <xm:f>Sheet2!$A$2:$A$4</xm:f>
          </x14:formula1>
          <xm:sqref>G3:G1048576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BDCE6-1176-43EE-A886-A4AB59F8104C}">
  <sheetPr codeName="Sheet2"/>
  <dimension ref="A1:A4"/>
  <sheetViews>
    <sheetView workbookViewId="0">
      <selection activeCell="A2" sqref="A2:A4"/>
    </sheetView>
  </sheetViews>
  <sheetFormatPr defaultRowHeight="14.25" x14ac:dyDescent="0.2"/>
  <cols>
    <col min="1" max="1" width="26.875" bestFit="1" customWidth="1"/>
  </cols>
  <sheetData>
    <row r="1" spans="1:1" x14ac:dyDescent="0.2">
      <c r="A1" s="1" t="s">
        <v>65</v>
      </c>
    </row>
    <row r="2" spans="1:1" x14ac:dyDescent="0.2">
      <c r="A2" s="3" t="s">
        <v>68</v>
      </c>
    </row>
    <row r="3" spans="1:1" x14ac:dyDescent="0.2">
      <c r="A3" s="3" t="s">
        <v>70</v>
      </c>
    </row>
    <row r="4" spans="1:1" x14ac:dyDescent="0.2">
      <c r="A4" s="3" t="s">
        <v>71</v>
      </c>
    </row>
  </sheetData>
  <phoneticPr fontId="1" type="noConversion"/>
  <conditionalFormatting sqref="A2:A4">
    <cfRule type="expression" dxfId="17" priority="1">
      <formula>MOD(ROW(#REF!),2)&lt;1</formula>
    </cfRule>
    <cfRule type="expression" dxfId="16" priority="2">
      <formula>MOD(ROW(A2),2)&lt;1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41B98-1044-435E-ADEA-243064CBA91E}">
  <sheetPr codeName="Sheet3"/>
  <dimension ref="A1:AU18"/>
  <sheetViews>
    <sheetView workbookViewId="0">
      <pane xSplit="2" ySplit="2" topLeftCell="AC3" activePane="bottomRight" state="frozen"/>
      <selection pane="topRight" activeCell="C1" sqref="C1"/>
      <selection pane="bottomLeft" activeCell="A3" sqref="A3"/>
      <selection pane="bottomRight" activeCell="AC15" sqref="AC15:AG15"/>
    </sheetView>
  </sheetViews>
  <sheetFormatPr defaultColWidth="12.625" defaultRowHeight="18" customHeight="1" x14ac:dyDescent="0.2"/>
  <cols>
    <col min="1" max="1" width="31.5" style="2" bestFit="1" customWidth="1"/>
    <col min="2" max="2" width="10.875" style="2" bestFit="1" customWidth="1"/>
    <col min="3" max="3" width="24.5" style="3" bestFit="1" customWidth="1"/>
    <col min="4" max="5" width="24.5" style="3" customWidth="1"/>
    <col min="6" max="6" width="26.875" style="3" bestFit="1" customWidth="1"/>
    <col min="7" max="7" width="19.875" style="3" bestFit="1" customWidth="1"/>
    <col min="8" max="8" width="19.75" style="3" bestFit="1" customWidth="1"/>
    <col min="9" max="9" width="17.75" style="3" bestFit="1" customWidth="1"/>
    <col min="10" max="10" width="17.625" style="3" bestFit="1" customWidth="1"/>
    <col min="11" max="12" width="22.25" style="3" bestFit="1" customWidth="1"/>
    <col min="13" max="13" width="10" style="3" bestFit="1" customWidth="1"/>
    <col min="14" max="14" width="15.75" style="3" bestFit="1" customWidth="1"/>
    <col min="15" max="15" width="16.875" style="3" bestFit="1" customWidth="1"/>
    <col min="16" max="16" width="17.25" style="3" bestFit="1" customWidth="1"/>
    <col min="17" max="17" width="11.75" style="3" bestFit="1" customWidth="1"/>
    <col min="18" max="18" width="15.625" style="3" bestFit="1" customWidth="1"/>
    <col min="19" max="19" width="18.125" style="3" bestFit="1" customWidth="1"/>
    <col min="20" max="20" width="13.125" style="3" bestFit="1" customWidth="1"/>
    <col min="21" max="21" width="16.625" style="3" bestFit="1" customWidth="1"/>
    <col min="22" max="22" width="11.625" style="3" bestFit="1" customWidth="1"/>
    <col min="23" max="23" width="17.25" style="3" bestFit="1" customWidth="1"/>
    <col min="24" max="24" width="10.875" style="3" bestFit="1" customWidth="1"/>
    <col min="25" max="25" width="16.625" style="3" bestFit="1" customWidth="1"/>
    <col min="26" max="26" width="51.5" style="3" bestFit="1" customWidth="1"/>
    <col min="27" max="27" width="14.125" style="3" bestFit="1" customWidth="1"/>
    <col min="28" max="28" width="8.75" style="3" bestFit="1" customWidth="1"/>
    <col min="29" max="29" width="20.875" style="3" bestFit="1" customWidth="1"/>
    <col min="30" max="30" width="23.875" style="3" bestFit="1" customWidth="1"/>
    <col min="31" max="31" width="19.375" style="3" bestFit="1" customWidth="1"/>
    <col min="32" max="32" width="16.125" style="3" bestFit="1" customWidth="1"/>
    <col min="33" max="33" width="21" style="3" bestFit="1" customWidth="1"/>
    <col min="34" max="37" width="14.125" style="3" bestFit="1" customWidth="1"/>
    <col min="38" max="38" width="14.125" style="3" customWidth="1"/>
    <col min="39" max="46" width="8.125" style="3" bestFit="1" customWidth="1"/>
    <col min="47" max="47" width="14.125" style="3" bestFit="1" customWidth="1"/>
    <col min="48" max="16384" width="12.625" style="3"/>
  </cols>
  <sheetData>
    <row r="1" spans="1:47" s="1" customFormat="1" ht="18" customHeight="1" x14ac:dyDescent="0.2">
      <c r="A1" s="1" t="s">
        <v>0</v>
      </c>
      <c r="B1" s="1" t="s">
        <v>2</v>
      </c>
      <c r="C1" s="1" t="s">
        <v>64</v>
      </c>
      <c r="D1" s="1" t="s">
        <v>189</v>
      </c>
      <c r="E1" s="1" t="s">
        <v>188</v>
      </c>
      <c r="F1" s="1" t="s">
        <v>67</v>
      </c>
      <c r="G1" s="1" t="s">
        <v>78</v>
      </c>
      <c r="H1" s="1" t="s">
        <v>79</v>
      </c>
      <c r="I1" s="1" t="s">
        <v>80</v>
      </c>
      <c r="J1" s="1" t="s">
        <v>81</v>
      </c>
      <c r="K1" s="1" t="s">
        <v>82</v>
      </c>
      <c r="L1" s="1" t="s">
        <v>83</v>
      </c>
      <c r="M1" s="1" t="s">
        <v>17</v>
      </c>
      <c r="N1" s="1" t="s">
        <v>59</v>
      </c>
      <c r="O1" s="1" t="s">
        <v>13</v>
      </c>
      <c r="P1" s="1" t="s">
        <v>15</v>
      </c>
      <c r="Q1" s="1" t="s">
        <v>84</v>
      </c>
      <c r="R1" s="1" t="s">
        <v>4</v>
      </c>
      <c r="S1" s="1" t="s">
        <v>6</v>
      </c>
      <c r="T1" s="1" t="s">
        <v>85</v>
      </c>
      <c r="U1" s="1" t="s">
        <v>86</v>
      </c>
      <c r="V1" s="1" t="s">
        <v>7</v>
      </c>
      <c r="W1" s="1" t="s">
        <v>87</v>
      </c>
      <c r="X1" s="1" t="s">
        <v>10</v>
      </c>
      <c r="Y1" s="1" t="s">
        <v>88</v>
      </c>
      <c r="Z1" s="1" t="s">
        <v>19</v>
      </c>
      <c r="AA1" s="1" t="s">
        <v>21</v>
      </c>
      <c r="AB1" s="1" t="s">
        <v>25</v>
      </c>
      <c r="AC1" s="1" t="s">
        <v>27</v>
      </c>
      <c r="AD1" s="1" t="s">
        <v>29</v>
      </c>
      <c r="AE1" s="1" t="s">
        <v>31</v>
      </c>
      <c r="AF1" s="1" t="s">
        <v>33</v>
      </c>
      <c r="AG1" s="1" t="s">
        <v>35</v>
      </c>
      <c r="AH1" s="1" t="s">
        <v>37</v>
      </c>
      <c r="AI1" s="1" t="s">
        <v>39</v>
      </c>
      <c r="AJ1" s="1" t="s">
        <v>41</v>
      </c>
      <c r="AK1" s="1" t="s">
        <v>43</v>
      </c>
      <c r="AL1" s="1" t="s">
        <v>208</v>
      </c>
      <c r="AM1" s="1" t="s">
        <v>45</v>
      </c>
      <c r="AN1" s="1" t="s">
        <v>47</v>
      </c>
      <c r="AO1" s="1" t="s">
        <v>49</v>
      </c>
      <c r="AP1" s="1" t="s">
        <v>51</v>
      </c>
      <c r="AQ1" s="1" t="s">
        <v>53</v>
      </c>
      <c r="AR1" s="1" t="s">
        <v>55</v>
      </c>
      <c r="AS1" s="1" t="s">
        <v>57</v>
      </c>
      <c r="AT1" s="1" t="s">
        <v>185</v>
      </c>
      <c r="AU1" s="1" t="s">
        <v>209</v>
      </c>
    </row>
    <row r="2" spans="1:47" s="1" customFormat="1" ht="18" customHeight="1" x14ac:dyDescent="0.2">
      <c r="A2" s="1" t="s">
        <v>1</v>
      </c>
      <c r="B2" s="1" t="s">
        <v>3</v>
      </c>
      <c r="C2" s="1" t="s">
        <v>63</v>
      </c>
      <c r="D2" s="1" t="s">
        <v>187</v>
      </c>
      <c r="E2" s="1" t="s">
        <v>199</v>
      </c>
      <c r="F2" s="1" t="s">
        <v>66</v>
      </c>
      <c r="G2" s="1" t="s">
        <v>72</v>
      </c>
      <c r="H2" s="1" t="s">
        <v>73</v>
      </c>
      <c r="I2" s="1" t="s">
        <v>74</v>
      </c>
      <c r="J2" s="1" t="s">
        <v>75</v>
      </c>
      <c r="K2" s="1" t="s">
        <v>76</v>
      </c>
      <c r="L2" s="1" t="s">
        <v>77</v>
      </c>
      <c r="M2" s="1" t="s">
        <v>18</v>
      </c>
      <c r="N2" s="1" t="s">
        <v>60</v>
      </c>
      <c r="O2" s="1" t="s">
        <v>14</v>
      </c>
      <c r="P2" s="1" t="s">
        <v>16</v>
      </c>
      <c r="Q2" s="1" t="s">
        <v>140</v>
      </c>
      <c r="R2" s="1" t="s">
        <v>5</v>
      </c>
      <c r="S2" s="1" t="s">
        <v>141</v>
      </c>
      <c r="T2" s="1" t="s">
        <v>23</v>
      </c>
      <c r="U2" s="1" t="s">
        <v>24</v>
      </c>
      <c r="V2" s="1" t="s">
        <v>8</v>
      </c>
      <c r="W2" s="1" t="s">
        <v>9</v>
      </c>
      <c r="X2" s="1" t="s">
        <v>11</v>
      </c>
      <c r="Y2" s="1" t="s">
        <v>12</v>
      </c>
      <c r="Z2" s="1" t="s">
        <v>20</v>
      </c>
      <c r="AA2" s="1" t="s">
        <v>22</v>
      </c>
      <c r="AB2" s="1" t="s">
        <v>26</v>
      </c>
      <c r="AC2" s="1" t="s">
        <v>28</v>
      </c>
      <c r="AD2" s="1" t="s">
        <v>30</v>
      </c>
      <c r="AE2" s="1" t="s">
        <v>32</v>
      </c>
      <c r="AF2" s="1" t="s">
        <v>34</v>
      </c>
      <c r="AG2" s="1" t="s">
        <v>36</v>
      </c>
      <c r="AH2" s="1" t="s">
        <v>38</v>
      </c>
      <c r="AI2" s="1" t="s">
        <v>40</v>
      </c>
      <c r="AJ2" s="1" t="s">
        <v>42</v>
      </c>
      <c r="AK2" s="1" t="s">
        <v>44</v>
      </c>
      <c r="AL2" s="1" t="s">
        <v>211</v>
      </c>
      <c r="AM2" s="1" t="s">
        <v>46</v>
      </c>
      <c r="AN2" s="1" t="s">
        <v>48</v>
      </c>
      <c r="AO2" s="1" t="s">
        <v>50</v>
      </c>
      <c r="AP2" s="1" t="s">
        <v>52</v>
      </c>
      <c r="AQ2" s="1" t="s">
        <v>54</v>
      </c>
      <c r="AR2" s="1" t="s">
        <v>56</v>
      </c>
      <c r="AS2" s="1" t="s">
        <v>58</v>
      </c>
      <c r="AT2" s="1" t="s">
        <v>186</v>
      </c>
      <c r="AU2" s="1" t="s">
        <v>210</v>
      </c>
    </row>
    <row r="3" spans="1:47" ht="18" customHeight="1" x14ac:dyDescent="0.2">
      <c r="A3" s="2" t="s">
        <v>61</v>
      </c>
      <c r="B3" s="2" t="s">
        <v>62</v>
      </c>
      <c r="C3" s="3" t="str">
        <f>A3</f>
        <v>npc_dota_hero_omniknight</v>
      </c>
      <c r="D3" s="3" t="str">
        <f>"Hero_"&amp;PROPER(RIGHT(A3,LEN(A3)-14))&amp;".Pick"</f>
        <v>Hero_Omniknight.Pick</v>
      </c>
      <c r="E3" s="3" t="s">
        <v>191</v>
      </c>
      <c r="F3" s="3" t="s">
        <v>69</v>
      </c>
      <c r="G3" s="3">
        <v>28</v>
      </c>
      <c r="H3" s="3">
        <v>3</v>
      </c>
      <c r="I3" s="3">
        <v>13</v>
      </c>
      <c r="J3" s="3">
        <v>1.8</v>
      </c>
      <c r="K3" s="3">
        <v>22</v>
      </c>
      <c r="L3" s="3">
        <v>2</v>
      </c>
      <c r="M3" s="3">
        <v>1.7</v>
      </c>
      <c r="O3" s="3">
        <v>31</v>
      </c>
      <c r="P3" s="3">
        <v>41</v>
      </c>
      <c r="Q3" s="3">
        <v>150</v>
      </c>
      <c r="R3" s="3">
        <v>305</v>
      </c>
      <c r="T3" s="3">
        <v>2.1</v>
      </c>
      <c r="U3" s="3">
        <v>0</v>
      </c>
      <c r="AC3" s="3" t="s">
        <v>89</v>
      </c>
      <c r="AD3" s="3" t="s">
        <v>90</v>
      </c>
      <c r="AE3" s="3" t="s">
        <v>91</v>
      </c>
      <c r="AF3" s="3" t="s">
        <v>92</v>
      </c>
      <c r="AG3" s="3" t="s">
        <v>93</v>
      </c>
      <c r="AH3" s="3" t="s">
        <v>207</v>
      </c>
      <c r="AI3" s="3" t="s">
        <v>207</v>
      </c>
      <c r="AJ3" s="3" t="s">
        <v>207</v>
      </c>
      <c r="AK3" s="3" t="s">
        <v>207</v>
      </c>
      <c r="AL3" s="3">
        <v>10</v>
      </c>
      <c r="AM3" s="3" t="s">
        <v>94</v>
      </c>
      <c r="AN3" s="3" t="s">
        <v>95</v>
      </c>
      <c r="AO3" s="3" t="s">
        <v>96</v>
      </c>
      <c r="AP3" s="3" t="s">
        <v>97</v>
      </c>
      <c r="AQ3" s="3" t="s">
        <v>98</v>
      </c>
      <c r="AR3" s="3" t="s">
        <v>99</v>
      </c>
      <c r="AS3" s="3" t="s">
        <v>100</v>
      </c>
      <c r="AT3" s="3" t="s">
        <v>101</v>
      </c>
      <c r="AU3" s="3" t="s">
        <v>207</v>
      </c>
    </row>
    <row r="4" spans="1:47" ht="18" customHeight="1" x14ac:dyDescent="0.2">
      <c r="A4" s="2" t="s">
        <v>102</v>
      </c>
      <c r="B4" s="2" t="s">
        <v>103</v>
      </c>
      <c r="C4" s="3" t="str">
        <f t="shared" ref="C4:C18" si="0">A4</f>
        <v>npc_dota_hero_windrunner</v>
      </c>
      <c r="D4" s="3" t="str">
        <f>"Hero_"&amp;PROPER(RIGHT(A4,LEN(A4)-14))&amp;".Pick"</f>
        <v>Hero_Windrunner.Pick</v>
      </c>
      <c r="E4" s="3" t="s">
        <v>190</v>
      </c>
      <c r="F4" s="3" t="s">
        <v>138</v>
      </c>
      <c r="G4" s="3">
        <v>17</v>
      </c>
      <c r="H4" s="3">
        <v>2.4</v>
      </c>
      <c r="I4" s="3">
        <v>22</v>
      </c>
      <c r="J4" s="3">
        <v>3</v>
      </c>
      <c r="K4" s="3">
        <v>15</v>
      </c>
      <c r="L4" s="3">
        <v>2.1</v>
      </c>
      <c r="M4" s="3">
        <v>1.65</v>
      </c>
      <c r="O4" s="3">
        <v>22</v>
      </c>
      <c r="P4" s="3">
        <v>34</v>
      </c>
      <c r="Q4" s="3">
        <v>550</v>
      </c>
      <c r="R4" s="3">
        <v>295</v>
      </c>
      <c r="T4" s="3">
        <v>0.38</v>
      </c>
      <c r="U4" s="3">
        <v>0</v>
      </c>
      <c r="Z4" s="3" t="s">
        <v>104</v>
      </c>
      <c r="AC4" s="3" t="s">
        <v>234</v>
      </c>
      <c r="AD4" s="3" t="s">
        <v>235</v>
      </c>
      <c r="AE4" s="3" t="s">
        <v>238</v>
      </c>
      <c r="AF4" s="3" t="s">
        <v>236</v>
      </c>
      <c r="AG4" s="3" t="s">
        <v>237</v>
      </c>
      <c r="AH4" s="3" t="s">
        <v>207</v>
      </c>
      <c r="AI4" s="3" t="s">
        <v>207</v>
      </c>
      <c r="AJ4" s="3" t="s">
        <v>207</v>
      </c>
      <c r="AK4" s="3" t="s">
        <v>207</v>
      </c>
      <c r="AL4" s="3">
        <v>10</v>
      </c>
      <c r="AM4" s="3" t="s">
        <v>94</v>
      </c>
      <c r="AN4" s="3" t="s">
        <v>95</v>
      </c>
      <c r="AO4" s="3" t="s">
        <v>96</v>
      </c>
      <c r="AP4" s="3" t="s">
        <v>97</v>
      </c>
      <c r="AQ4" s="3" t="s">
        <v>98</v>
      </c>
      <c r="AR4" s="3" t="s">
        <v>99</v>
      </c>
      <c r="AS4" s="3" t="s">
        <v>100</v>
      </c>
      <c r="AT4" s="3" t="s">
        <v>101</v>
      </c>
      <c r="AU4" s="3" t="s">
        <v>207</v>
      </c>
    </row>
    <row r="5" spans="1:47" ht="18" customHeight="1" x14ac:dyDescent="0.2">
      <c r="A5" s="2" t="s">
        <v>124</v>
      </c>
      <c r="B5" s="2" t="s">
        <v>105</v>
      </c>
      <c r="C5" s="3" t="str">
        <f t="shared" si="0"/>
        <v>npc_dota_hero_drow_ranger</v>
      </c>
      <c r="D5" s="3" t="str">
        <f t="shared" ref="D5:D18" si="1">"Hero_"&amp;PROPER(RIGHT(A5,LEN(A5)-14))&amp;".Pick"</f>
        <v>Hero_Drow_Ranger.Pick</v>
      </c>
      <c r="E5" s="3" t="s">
        <v>192</v>
      </c>
      <c r="F5" s="3" t="s">
        <v>138</v>
      </c>
      <c r="G5" s="3">
        <v>17</v>
      </c>
      <c r="H5" s="3">
        <v>2.4</v>
      </c>
      <c r="I5" s="3">
        <v>22</v>
      </c>
      <c r="J5" s="3">
        <v>3</v>
      </c>
      <c r="K5" s="3">
        <v>15</v>
      </c>
      <c r="L5" s="3">
        <v>2.1</v>
      </c>
      <c r="M5" s="3">
        <v>1.65</v>
      </c>
      <c r="O5" s="3">
        <v>22</v>
      </c>
      <c r="P5" s="3">
        <v>34</v>
      </c>
      <c r="Q5" s="3">
        <v>650</v>
      </c>
      <c r="R5" s="3">
        <v>295</v>
      </c>
      <c r="T5" s="3">
        <v>0.38</v>
      </c>
      <c r="U5" s="3">
        <v>0</v>
      </c>
      <c r="Z5" s="3" t="s">
        <v>142</v>
      </c>
      <c r="AB5" s="3" t="s">
        <v>217</v>
      </c>
      <c r="AC5" s="3" t="s">
        <v>212</v>
      </c>
      <c r="AD5" s="3" t="s">
        <v>213</v>
      </c>
      <c r="AE5" s="3" t="s">
        <v>214</v>
      </c>
      <c r="AF5" s="3" t="s">
        <v>215</v>
      </c>
      <c r="AG5" s="3" t="s">
        <v>216</v>
      </c>
      <c r="AH5" s="3" t="s">
        <v>207</v>
      </c>
      <c r="AI5" s="3" t="s">
        <v>207</v>
      </c>
      <c r="AJ5" s="3" t="s">
        <v>207</v>
      </c>
      <c r="AK5" s="3" t="s">
        <v>207</v>
      </c>
      <c r="AL5" s="3">
        <v>10</v>
      </c>
      <c r="AM5" s="3" t="s">
        <v>94</v>
      </c>
      <c r="AN5" s="3" t="s">
        <v>95</v>
      </c>
      <c r="AO5" s="3" t="s">
        <v>96</v>
      </c>
      <c r="AP5" s="3" t="s">
        <v>97</v>
      </c>
      <c r="AQ5" s="3" t="s">
        <v>98</v>
      </c>
      <c r="AR5" s="3" t="s">
        <v>99</v>
      </c>
      <c r="AS5" s="3" t="s">
        <v>100</v>
      </c>
      <c r="AT5" s="3" t="s">
        <v>101</v>
      </c>
      <c r="AU5" s="3" t="s">
        <v>207</v>
      </c>
    </row>
    <row r="6" spans="1:47" ht="18" customHeight="1" x14ac:dyDescent="0.2">
      <c r="A6" s="2" t="s">
        <v>125</v>
      </c>
      <c r="B6" s="2" t="s">
        <v>106</v>
      </c>
      <c r="C6" s="3" t="str">
        <f t="shared" si="0"/>
        <v>npc_dota_hero_phantom_assassin</v>
      </c>
      <c r="D6" s="3" t="str">
        <f t="shared" si="1"/>
        <v>Hero_Phantom_Assassin.Pick</v>
      </c>
      <c r="E6" s="3" t="s">
        <v>193</v>
      </c>
      <c r="F6" s="3" t="s">
        <v>138</v>
      </c>
      <c r="G6" s="3">
        <v>14</v>
      </c>
      <c r="H6" s="3">
        <v>1.3</v>
      </c>
      <c r="I6" s="3">
        <v>28</v>
      </c>
      <c r="J6" s="3">
        <v>3.4</v>
      </c>
      <c r="K6" s="3">
        <v>12</v>
      </c>
      <c r="L6" s="3">
        <v>1.2</v>
      </c>
      <c r="M6" s="3">
        <v>1.35</v>
      </c>
      <c r="O6" s="3">
        <v>23</v>
      </c>
      <c r="P6" s="3">
        <v>25</v>
      </c>
      <c r="Q6" s="3">
        <v>150</v>
      </c>
      <c r="R6" s="3">
        <v>305</v>
      </c>
      <c r="S6" s="3">
        <v>1.2</v>
      </c>
      <c r="T6" s="3">
        <v>1.44</v>
      </c>
      <c r="U6" s="3">
        <v>0</v>
      </c>
      <c r="AC6" s="3" t="s">
        <v>143</v>
      </c>
      <c r="AD6" s="3" t="s">
        <v>152</v>
      </c>
      <c r="AE6" s="3" t="s">
        <v>158</v>
      </c>
      <c r="AF6" s="3" t="s">
        <v>167</v>
      </c>
      <c r="AG6" s="3" t="s">
        <v>176</v>
      </c>
      <c r="AH6" s="3" t="s">
        <v>207</v>
      </c>
      <c r="AI6" s="3" t="s">
        <v>207</v>
      </c>
      <c r="AJ6" s="3" t="s">
        <v>207</v>
      </c>
      <c r="AK6" s="3" t="s">
        <v>207</v>
      </c>
      <c r="AL6" s="3">
        <v>10</v>
      </c>
      <c r="AM6" s="3" t="s">
        <v>94</v>
      </c>
      <c r="AN6" s="3" t="s">
        <v>95</v>
      </c>
      <c r="AO6" s="3" t="s">
        <v>96</v>
      </c>
      <c r="AP6" s="3" t="s">
        <v>97</v>
      </c>
      <c r="AQ6" s="3" t="s">
        <v>98</v>
      </c>
      <c r="AR6" s="3" t="s">
        <v>99</v>
      </c>
      <c r="AS6" s="3" t="s">
        <v>100</v>
      </c>
      <c r="AT6" s="3" t="s">
        <v>101</v>
      </c>
      <c r="AU6" s="3" t="s">
        <v>207</v>
      </c>
    </row>
    <row r="7" spans="1:47" ht="18" customHeight="1" x14ac:dyDescent="0.2">
      <c r="A7" s="2" t="s">
        <v>126</v>
      </c>
      <c r="B7" s="2" t="s">
        <v>107</v>
      </c>
      <c r="C7" s="3" t="str">
        <f t="shared" si="0"/>
        <v>npc_dota_hero_rubick</v>
      </c>
      <c r="D7" s="3" t="str">
        <f t="shared" si="1"/>
        <v>Hero_Rubick.Pick</v>
      </c>
      <c r="E7" s="3" t="s">
        <v>194</v>
      </c>
      <c r="F7" s="3" t="s">
        <v>139</v>
      </c>
      <c r="G7" s="3">
        <v>18</v>
      </c>
      <c r="H7" s="3">
        <v>1.6</v>
      </c>
      <c r="I7" s="3">
        <v>13</v>
      </c>
      <c r="J7" s="3">
        <v>1.2</v>
      </c>
      <c r="K7" s="3">
        <v>26</v>
      </c>
      <c r="L7" s="3">
        <v>2.8</v>
      </c>
      <c r="M7" s="3">
        <v>1.8</v>
      </c>
      <c r="O7" s="3">
        <v>17</v>
      </c>
      <c r="P7" s="3">
        <v>27</v>
      </c>
      <c r="Q7" s="3">
        <v>550</v>
      </c>
      <c r="R7" s="3">
        <v>290</v>
      </c>
      <c r="T7" s="3">
        <v>0.16</v>
      </c>
      <c r="U7" s="3">
        <v>0</v>
      </c>
      <c r="AC7" s="3" t="s">
        <v>229</v>
      </c>
      <c r="AD7" s="3" t="s">
        <v>230</v>
      </c>
      <c r="AE7" s="3" t="s">
        <v>231</v>
      </c>
      <c r="AF7" s="3" t="s">
        <v>232</v>
      </c>
      <c r="AG7" s="3" t="s">
        <v>233</v>
      </c>
      <c r="AH7" s="3" t="s">
        <v>207</v>
      </c>
      <c r="AI7" s="3" t="s">
        <v>207</v>
      </c>
      <c r="AJ7" s="3" t="s">
        <v>207</v>
      </c>
      <c r="AK7" s="3" t="s">
        <v>207</v>
      </c>
      <c r="AL7" s="3">
        <v>10</v>
      </c>
      <c r="AM7" s="3" t="s">
        <v>94</v>
      </c>
      <c r="AN7" s="3" t="s">
        <v>95</v>
      </c>
      <c r="AO7" s="3" t="s">
        <v>96</v>
      </c>
      <c r="AP7" s="3" t="s">
        <v>97</v>
      </c>
      <c r="AQ7" s="3" t="s">
        <v>98</v>
      </c>
      <c r="AR7" s="3" t="s">
        <v>99</v>
      </c>
      <c r="AS7" s="3" t="s">
        <v>100</v>
      </c>
      <c r="AT7" s="3" t="s">
        <v>101</v>
      </c>
      <c r="AU7" s="3" t="s">
        <v>207</v>
      </c>
    </row>
    <row r="8" spans="1:47" ht="18" customHeight="1" x14ac:dyDescent="0.2">
      <c r="A8" s="2" t="s">
        <v>127</v>
      </c>
      <c r="B8" s="2" t="s">
        <v>108</v>
      </c>
      <c r="C8" s="3" t="str">
        <f t="shared" si="0"/>
        <v>npc_dota_hero_juggernaut</v>
      </c>
      <c r="D8" s="3" t="str">
        <f t="shared" si="1"/>
        <v>Hero_Juggernaut.Pick</v>
      </c>
      <c r="E8" s="3" t="s">
        <v>195</v>
      </c>
      <c r="F8" s="3" t="s">
        <v>138</v>
      </c>
      <c r="G8" s="3">
        <v>17</v>
      </c>
      <c r="H8" s="3">
        <v>2.4</v>
      </c>
      <c r="I8" s="3">
        <v>22</v>
      </c>
      <c r="J8" s="3">
        <v>3</v>
      </c>
      <c r="K8" s="3">
        <v>15</v>
      </c>
      <c r="L8" s="3">
        <v>2.1</v>
      </c>
      <c r="M8" s="3">
        <v>1.6</v>
      </c>
      <c r="O8" s="3">
        <v>22</v>
      </c>
      <c r="P8" s="3">
        <v>26</v>
      </c>
      <c r="Q8" s="3">
        <v>150</v>
      </c>
      <c r="R8" s="3">
        <v>295</v>
      </c>
      <c r="T8" s="3">
        <v>1.24</v>
      </c>
      <c r="U8" s="3">
        <v>0</v>
      </c>
      <c r="AC8" s="3" t="s">
        <v>219</v>
      </c>
      <c r="AD8" s="3" t="s">
        <v>153</v>
      </c>
      <c r="AE8" s="3" t="s">
        <v>220</v>
      </c>
      <c r="AF8" s="3" t="s">
        <v>222</v>
      </c>
      <c r="AG8" s="3" t="s">
        <v>223</v>
      </c>
      <c r="AH8" s="3" t="s">
        <v>221</v>
      </c>
      <c r="AI8" s="3" t="s">
        <v>207</v>
      </c>
      <c r="AJ8" s="3" t="s">
        <v>207</v>
      </c>
      <c r="AK8" s="3" t="s">
        <v>207</v>
      </c>
      <c r="AL8" s="3">
        <v>10</v>
      </c>
      <c r="AM8" s="3" t="s">
        <v>94</v>
      </c>
      <c r="AN8" s="3" t="s">
        <v>95</v>
      </c>
      <c r="AO8" s="3" t="s">
        <v>96</v>
      </c>
      <c r="AP8" s="3" t="s">
        <v>97</v>
      </c>
      <c r="AQ8" s="3" t="s">
        <v>98</v>
      </c>
      <c r="AR8" s="3" t="s">
        <v>99</v>
      </c>
      <c r="AS8" s="3" t="s">
        <v>100</v>
      </c>
      <c r="AT8" s="3" t="s">
        <v>101</v>
      </c>
      <c r="AU8" s="3" t="s">
        <v>207</v>
      </c>
    </row>
    <row r="9" spans="1:47" ht="18" customHeight="1" x14ac:dyDescent="0.2">
      <c r="A9" s="2" t="s">
        <v>128</v>
      </c>
      <c r="B9" s="2" t="s">
        <v>109</v>
      </c>
      <c r="C9" s="3" t="str">
        <f t="shared" si="0"/>
        <v>npc_dota_hero_antimage</v>
      </c>
      <c r="D9" s="3" t="str">
        <f t="shared" si="1"/>
        <v>Hero_Antimage.Pick</v>
      </c>
      <c r="E9" s="3" t="s">
        <v>196</v>
      </c>
      <c r="F9" s="3" t="s">
        <v>138</v>
      </c>
      <c r="G9" s="3">
        <v>20</v>
      </c>
      <c r="H9" s="3">
        <v>2.8</v>
      </c>
      <c r="I9" s="3">
        <v>23</v>
      </c>
      <c r="J9" s="3">
        <v>2.8</v>
      </c>
      <c r="K9" s="3">
        <v>15</v>
      </c>
      <c r="L9" s="3">
        <v>2</v>
      </c>
      <c r="M9" s="3">
        <v>1.55</v>
      </c>
      <c r="O9" s="3">
        <v>27</v>
      </c>
      <c r="P9" s="3">
        <v>31</v>
      </c>
      <c r="Q9" s="3">
        <v>150</v>
      </c>
      <c r="R9" s="3">
        <v>310</v>
      </c>
      <c r="T9" s="3">
        <v>0.62</v>
      </c>
      <c r="U9" s="3">
        <v>0</v>
      </c>
      <c r="AA9" s="3">
        <v>900</v>
      </c>
      <c r="AC9" s="3" t="s">
        <v>144</v>
      </c>
      <c r="AD9" s="3" t="s">
        <v>154</v>
      </c>
      <c r="AE9" s="3" t="s">
        <v>159</v>
      </c>
      <c r="AF9" s="3" t="s">
        <v>168</v>
      </c>
      <c r="AG9" s="3" t="s">
        <v>177</v>
      </c>
      <c r="AH9" s="3" t="s">
        <v>207</v>
      </c>
      <c r="AI9" s="3" t="s">
        <v>207</v>
      </c>
      <c r="AJ9" s="3" t="s">
        <v>207</v>
      </c>
      <c r="AK9" s="3" t="s">
        <v>207</v>
      </c>
      <c r="AL9" s="3">
        <v>10</v>
      </c>
      <c r="AM9" s="3" t="s">
        <v>94</v>
      </c>
      <c r="AN9" s="3" t="s">
        <v>95</v>
      </c>
      <c r="AO9" s="3" t="s">
        <v>96</v>
      </c>
      <c r="AP9" s="3" t="s">
        <v>97</v>
      </c>
      <c r="AQ9" s="3" t="s">
        <v>98</v>
      </c>
      <c r="AR9" s="3" t="s">
        <v>99</v>
      </c>
      <c r="AS9" s="3" t="s">
        <v>100</v>
      </c>
      <c r="AT9" s="3" t="s">
        <v>101</v>
      </c>
      <c r="AU9" s="3" t="s">
        <v>207</v>
      </c>
    </row>
    <row r="10" spans="1:47" ht="18" customHeight="1" x14ac:dyDescent="0.2">
      <c r="A10" s="2" t="s">
        <v>129</v>
      </c>
      <c r="B10" s="2" t="s">
        <v>110</v>
      </c>
      <c r="C10" s="3" t="str">
        <f t="shared" si="0"/>
        <v>npc_dota_hero_lina</v>
      </c>
      <c r="D10" s="3" t="str">
        <f t="shared" si="1"/>
        <v>Hero_Lina.Pick</v>
      </c>
      <c r="E10" s="3" t="s">
        <v>197</v>
      </c>
      <c r="F10" s="3" t="s">
        <v>139</v>
      </c>
      <c r="G10" s="3">
        <v>18</v>
      </c>
      <c r="H10" s="3">
        <v>2.4</v>
      </c>
      <c r="I10" s="3">
        <v>16</v>
      </c>
      <c r="J10" s="3">
        <v>1.8</v>
      </c>
      <c r="K10" s="3">
        <v>24</v>
      </c>
      <c r="L10" s="3">
        <v>2.4</v>
      </c>
      <c r="M10" s="3">
        <v>1.6</v>
      </c>
      <c r="O10" s="3">
        <v>16</v>
      </c>
      <c r="P10" s="3">
        <v>28</v>
      </c>
      <c r="Q10" s="3">
        <v>700</v>
      </c>
      <c r="R10" s="3">
        <v>295</v>
      </c>
      <c r="T10" s="3">
        <v>0.24</v>
      </c>
      <c r="U10" s="3">
        <v>0</v>
      </c>
      <c r="AC10" s="3" t="s">
        <v>145</v>
      </c>
      <c r="AD10" s="3" t="s">
        <v>155</v>
      </c>
      <c r="AE10" s="3" t="s">
        <v>160</v>
      </c>
      <c r="AF10" s="3" t="s">
        <v>169</v>
      </c>
      <c r="AG10" s="3" t="s">
        <v>178</v>
      </c>
      <c r="AH10" s="3" t="s">
        <v>207</v>
      </c>
      <c r="AI10" s="3" t="s">
        <v>207</v>
      </c>
      <c r="AJ10" s="3" t="s">
        <v>207</v>
      </c>
      <c r="AK10" s="3" t="s">
        <v>207</v>
      </c>
      <c r="AL10" s="3">
        <v>10</v>
      </c>
      <c r="AM10" s="3" t="s">
        <v>94</v>
      </c>
      <c r="AN10" s="3" t="s">
        <v>95</v>
      </c>
      <c r="AO10" s="3" t="s">
        <v>96</v>
      </c>
      <c r="AP10" s="3" t="s">
        <v>97</v>
      </c>
      <c r="AQ10" s="3" t="s">
        <v>98</v>
      </c>
      <c r="AR10" s="3" t="s">
        <v>99</v>
      </c>
      <c r="AS10" s="3" t="s">
        <v>100</v>
      </c>
      <c r="AT10" s="3" t="s">
        <v>101</v>
      </c>
      <c r="AU10" s="3" t="s">
        <v>207</v>
      </c>
    </row>
    <row r="11" spans="1:47" ht="18" customHeight="1" x14ac:dyDescent="0.2">
      <c r="A11" s="2" t="s">
        <v>130</v>
      </c>
      <c r="B11" s="4" t="s">
        <v>111</v>
      </c>
      <c r="C11" s="3" t="str">
        <f t="shared" si="0"/>
        <v>npc_dota_hero_nevermore</v>
      </c>
      <c r="D11" s="3" t="str">
        <f t="shared" si="1"/>
        <v>Hero_Nevermore.Pick</v>
      </c>
      <c r="E11" s="3" t="s">
        <v>198</v>
      </c>
      <c r="F11" s="3" t="s">
        <v>69</v>
      </c>
      <c r="G11" s="3">
        <v>22</v>
      </c>
      <c r="H11" s="3">
        <v>3</v>
      </c>
      <c r="I11" s="3">
        <v>20</v>
      </c>
      <c r="J11" s="3">
        <v>2.1</v>
      </c>
      <c r="K11" s="3">
        <v>17</v>
      </c>
      <c r="L11" s="3">
        <v>2.1</v>
      </c>
      <c r="M11" s="3">
        <v>1.5</v>
      </c>
      <c r="O11" s="3">
        <v>15</v>
      </c>
      <c r="P11" s="3">
        <v>21</v>
      </c>
      <c r="Q11" s="3">
        <v>600</v>
      </c>
      <c r="R11" s="3">
        <v>310</v>
      </c>
      <c r="T11" s="3">
        <v>0.12</v>
      </c>
      <c r="U11" s="3">
        <v>0</v>
      </c>
      <c r="AB11" s="3" t="s">
        <v>123</v>
      </c>
      <c r="AC11" s="3" t="s">
        <v>224</v>
      </c>
      <c r="AD11" s="3" t="s">
        <v>225</v>
      </c>
      <c r="AE11" s="3" t="s">
        <v>226</v>
      </c>
      <c r="AF11" s="3" t="s">
        <v>227</v>
      </c>
      <c r="AG11" s="3" t="s">
        <v>228</v>
      </c>
      <c r="AH11" s="3" t="s">
        <v>207</v>
      </c>
      <c r="AI11" s="3" t="s">
        <v>207</v>
      </c>
      <c r="AJ11" s="3" t="s">
        <v>207</v>
      </c>
      <c r="AK11" s="3" t="s">
        <v>207</v>
      </c>
      <c r="AL11" s="3">
        <v>10</v>
      </c>
      <c r="AM11" s="3" t="s">
        <v>94</v>
      </c>
      <c r="AN11" s="3" t="s">
        <v>95</v>
      </c>
      <c r="AO11" s="3" t="s">
        <v>96</v>
      </c>
      <c r="AP11" s="3" t="s">
        <v>97</v>
      </c>
      <c r="AQ11" s="3" t="s">
        <v>98</v>
      </c>
      <c r="AR11" s="3" t="s">
        <v>99</v>
      </c>
      <c r="AS11" s="3" t="s">
        <v>100</v>
      </c>
      <c r="AT11" s="3" t="s">
        <v>101</v>
      </c>
      <c r="AU11" s="3" t="s">
        <v>207</v>
      </c>
    </row>
    <row r="12" spans="1:47" ht="18" customHeight="1" x14ac:dyDescent="0.2">
      <c r="A12" s="2" t="s">
        <v>131</v>
      </c>
      <c r="B12" s="2" t="s">
        <v>113</v>
      </c>
      <c r="C12" s="3" t="str">
        <f t="shared" si="0"/>
        <v>npc_dota_hero_legion_commander</v>
      </c>
      <c r="D12" s="3" t="str">
        <f t="shared" si="1"/>
        <v>Hero_Legion_Commander.Pick</v>
      </c>
      <c r="E12" s="3" t="s">
        <v>200</v>
      </c>
      <c r="F12" s="3" t="s">
        <v>69</v>
      </c>
      <c r="G12" s="3">
        <v>22</v>
      </c>
      <c r="H12" s="3">
        <v>2.2000000000000002</v>
      </c>
      <c r="I12" s="3">
        <v>16</v>
      </c>
      <c r="J12" s="3">
        <v>1.6</v>
      </c>
      <c r="K12" s="3">
        <v>20</v>
      </c>
      <c r="L12" s="3">
        <v>2</v>
      </c>
      <c r="M12" s="3">
        <v>1.5</v>
      </c>
      <c r="O12" s="3">
        <v>35</v>
      </c>
      <c r="P12" s="3">
        <v>39</v>
      </c>
      <c r="Q12" s="3">
        <v>150</v>
      </c>
      <c r="R12" s="3">
        <v>320</v>
      </c>
      <c r="T12" s="3">
        <v>0.81</v>
      </c>
      <c r="U12" s="3">
        <v>0</v>
      </c>
      <c r="AC12" s="3" t="s">
        <v>146</v>
      </c>
      <c r="AD12" s="3" t="s">
        <v>156</v>
      </c>
      <c r="AE12" s="3" t="s">
        <v>161</v>
      </c>
      <c r="AF12" s="3" t="s">
        <v>170</v>
      </c>
      <c r="AG12" s="3" t="s">
        <v>179</v>
      </c>
      <c r="AH12" s="3" t="s">
        <v>207</v>
      </c>
      <c r="AI12" s="3" t="s">
        <v>207</v>
      </c>
      <c r="AJ12" s="3" t="s">
        <v>207</v>
      </c>
      <c r="AK12" s="3" t="s">
        <v>207</v>
      </c>
      <c r="AL12" s="3">
        <v>10</v>
      </c>
      <c r="AM12" s="3" t="s">
        <v>94</v>
      </c>
      <c r="AN12" s="3" t="s">
        <v>95</v>
      </c>
      <c r="AO12" s="3" t="s">
        <v>96</v>
      </c>
      <c r="AP12" s="3" t="s">
        <v>97</v>
      </c>
      <c r="AQ12" s="3" t="s">
        <v>98</v>
      </c>
      <c r="AR12" s="3" t="s">
        <v>99</v>
      </c>
      <c r="AS12" s="3" t="s">
        <v>100</v>
      </c>
      <c r="AT12" s="3" t="s">
        <v>101</v>
      </c>
      <c r="AU12" s="3" t="s">
        <v>207</v>
      </c>
    </row>
    <row r="13" spans="1:47" ht="18" customHeight="1" x14ac:dyDescent="0.2">
      <c r="A13" s="2" t="s">
        <v>132</v>
      </c>
      <c r="B13" s="2" t="s">
        <v>112</v>
      </c>
      <c r="C13" s="3" t="str">
        <f t="shared" si="0"/>
        <v>npc_dota_hero_ember_spirit</v>
      </c>
      <c r="D13" s="3" t="str">
        <f t="shared" si="1"/>
        <v>Hero_Ember_Spirit.Pick</v>
      </c>
      <c r="E13" s="3" t="s">
        <v>201</v>
      </c>
      <c r="F13" s="3" t="s">
        <v>138</v>
      </c>
      <c r="G13" s="3">
        <v>18</v>
      </c>
      <c r="H13" s="3">
        <v>1.6</v>
      </c>
      <c r="I13" s="3">
        <v>25</v>
      </c>
      <c r="J13" s="3">
        <v>2.9</v>
      </c>
      <c r="K13" s="3">
        <v>16</v>
      </c>
      <c r="L13" s="3">
        <v>1.4</v>
      </c>
      <c r="M13" s="3">
        <v>1.8</v>
      </c>
      <c r="O13" s="3">
        <v>30</v>
      </c>
      <c r="P13" s="3">
        <v>34</v>
      </c>
      <c r="Q13" s="3">
        <v>150</v>
      </c>
      <c r="R13" s="3">
        <v>305</v>
      </c>
      <c r="T13" s="3">
        <v>0.18</v>
      </c>
      <c r="U13" s="3">
        <v>0</v>
      </c>
      <c r="AC13" s="3" t="s">
        <v>147</v>
      </c>
      <c r="AD13" s="3" t="s">
        <v>114</v>
      </c>
      <c r="AE13" s="3" t="s">
        <v>162</v>
      </c>
      <c r="AF13" s="3" t="s">
        <v>171</v>
      </c>
      <c r="AG13" s="3" t="s">
        <v>180</v>
      </c>
      <c r="AH13" s="3" t="s">
        <v>207</v>
      </c>
      <c r="AI13" s="3" t="s">
        <v>207</v>
      </c>
      <c r="AJ13" s="3" t="s">
        <v>207</v>
      </c>
      <c r="AK13" s="3" t="s">
        <v>207</v>
      </c>
      <c r="AL13" s="3">
        <v>10</v>
      </c>
      <c r="AM13" s="3" t="s">
        <v>94</v>
      </c>
      <c r="AN13" s="3" t="s">
        <v>95</v>
      </c>
      <c r="AO13" s="3" t="s">
        <v>96</v>
      </c>
      <c r="AP13" s="3" t="s">
        <v>97</v>
      </c>
      <c r="AQ13" s="3" t="s">
        <v>98</v>
      </c>
      <c r="AR13" s="3" t="s">
        <v>99</v>
      </c>
      <c r="AS13" s="3" t="s">
        <v>100</v>
      </c>
      <c r="AT13" s="3" t="s">
        <v>101</v>
      </c>
      <c r="AU13" s="3" t="s">
        <v>207</v>
      </c>
    </row>
    <row r="14" spans="1:47" ht="18" customHeight="1" x14ac:dyDescent="0.2">
      <c r="A14" s="2" t="s">
        <v>133</v>
      </c>
      <c r="B14" s="2" t="s">
        <v>115</v>
      </c>
      <c r="C14" s="3" t="str">
        <f t="shared" si="0"/>
        <v>npc_dota_hero_templar_assassin</v>
      </c>
      <c r="D14" s="3" t="str">
        <f t="shared" si="1"/>
        <v>Hero_Templar_Assassin.Pick</v>
      </c>
      <c r="E14" s="3" t="s">
        <v>202</v>
      </c>
      <c r="F14" s="3" t="s">
        <v>138</v>
      </c>
      <c r="G14" s="3">
        <v>22</v>
      </c>
      <c r="H14" s="3">
        <v>2.6</v>
      </c>
      <c r="I14" s="3">
        <v>28</v>
      </c>
      <c r="J14" s="3">
        <v>2.8</v>
      </c>
      <c r="K14" s="3">
        <v>24</v>
      </c>
      <c r="L14" s="3">
        <v>2.4</v>
      </c>
      <c r="M14" s="3">
        <v>1.5</v>
      </c>
      <c r="O14" s="3">
        <v>30</v>
      </c>
      <c r="P14" s="3">
        <v>36</v>
      </c>
      <c r="Q14" s="3">
        <v>350</v>
      </c>
      <c r="R14" s="3">
        <v>300</v>
      </c>
      <c r="T14" s="3">
        <v>1.88</v>
      </c>
      <c r="U14" s="3">
        <v>0</v>
      </c>
      <c r="AB14" s="3" t="s">
        <v>123</v>
      </c>
      <c r="AC14" s="3" t="s">
        <v>148</v>
      </c>
      <c r="AD14" s="3" t="s">
        <v>116</v>
      </c>
      <c r="AE14" s="3" t="s">
        <v>163</v>
      </c>
      <c r="AF14" s="3" t="s">
        <v>172</v>
      </c>
      <c r="AG14" s="3" t="s">
        <v>181</v>
      </c>
      <c r="AH14" s="3" t="s">
        <v>207</v>
      </c>
      <c r="AI14" s="3" t="s">
        <v>207</v>
      </c>
      <c r="AJ14" s="3" t="s">
        <v>207</v>
      </c>
      <c r="AK14" s="3" t="s">
        <v>207</v>
      </c>
      <c r="AL14" s="3">
        <v>10</v>
      </c>
      <c r="AM14" s="3" t="s">
        <v>94</v>
      </c>
      <c r="AN14" s="3" t="s">
        <v>95</v>
      </c>
      <c r="AO14" s="3" t="s">
        <v>96</v>
      </c>
      <c r="AP14" s="3" t="s">
        <v>97</v>
      </c>
      <c r="AQ14" s="3" t="s">
        <v>98</v>
      </c>
      <c r="AR14" s="3" t="s">
        <v>99</v>
      </c>
      <c r="AS14" s="3" t="s">
        <v>100</v>
      </c>
      <c r="AT14" s="3" t="s">
        <v>101</v>
      </c>
      <c r="AU14" s="3" t="s">
        <v>207</v>
      </c>
    </row>
    <row r="15" spans="1:47" ht="18" customHeight="1" x14ac:dyDescent="0.2">
      <c r="A15" s="2" t="s">
        <v>134</v>
      </c>
      <c r="B15" s="2" t="s">
        <v>117</v>
      </c>
      <c r="C15" s="3" t="str">
        <f t="shared" si="0"/>
        <v>npc_dota_hero_crystal_maiden</v>
      </c>
      <c r="D15" s="3" t="str">
        <f t="shared" si="1"/>
        <v>Hero_Crystal_Maiden.Pick</v>
      </c>
      <c r="E15" s="3" t="s">
        <v>203</v>
      </c>
      <c r="F15" s="3" t="s">
        <v>139</v>
      </c>
      <c r="G15" s="3">
        <v>12</v>
      </c>
      <c r="H15" s="3">
        <v>1.3</v>
      </c>
      <c r="I15" s="3">
        <v>15</v>
      </c>
      <c r="J15" s="3">
        <v>1.6</v>
      </c>
      <c r="K15" s="3">
        <v>21</v>
      </c>
      <c r="L15" s="3">
        <v>2.2000000000000002</v>
      </c>
      <c r="M15" s="3">
        <v>1.8</v>
      </c>
      <c r="O15" s="3">
        <v>19</v>
      </c>
      <c r="P15" s="3">
        <v>25</v>
      </c>
      <c r="Q15" s="3">
        <v>600</v>
      </c>
      <c r="R15" s="3">
        <v>300</v>
      </c>
      <c r="T15" s="3">
        <v>0</v>
      </c>
      <c r="U15" s="3">
        <v>0</v>
      </c>
      <c r="AC15" s="3" t="s">
        <v>239</v>
      </c>
      <c r="AD15" s="3" t="s">
        <v>240</v>
      </c>
      <c r="AE15" s="3" t="s">
        <v>241</v>
      </c>
      <c r="AF15" s="3" t="s">
        <v>242</v>
      </c>
      <c r="AG15" s="3" t="s">
        <v>243</v>
      </c>
      <c r="AH15" s="3" t="s">
        <v>207</v>
      </c>
      <c r="AI15" s="3" t="s">
        <v>207</v>
      </c>
      <c r="AJ15" s="3" t="s">
        <v>207</v>
      </c>
      <c r="AK15" s="3" t="s">
        <v>207</v>
      </c>
      <c r="AL15" s="3">
        <v>10</v>
      </c>
      <c r="AM15" s="3" t="s">
        <v>94</v>
      </c>
      <c r="AN15" s="3" t="s">
        <v>95</v>
      </c>
      <c r="AO15" s="3" t="s">
        <v>96</v>
      </c>
      <c r="AP15" s="3" t="s">
        <v>97</v>
      </c>
      <c r="AQ15" s="3" t="s">
        <v>98</v>
      </c>
      <c r="AR15" s="3" t="s">
        <v>99</v>
      </c>
      <c r="AS15" s="3" t="s">
        <v>100</v>
      </c>
      <c r="AT15" s="3" t="s">
        <v>101</v>
      </c>
      <c r="AU15" s="3" t="s">
        <v>207</v>
      </c>
    </row>
    <row r="16" spans="1:47" ht="18" customHeight="1" x14ac:dyDescent="0.2">
      <c r="A16" s="2" t="s">
        <v>135</v>
      </c>
      <c r="B16" s="2" t="s">
        <v>118</v>
      </c>
      <c r="C16" s="3" t="str">
        <f t="shared" si="0"/>
        <v>npc_dota_hero_monkey_king</v>
      </c>
      <c r="D16" s="3" t="str">
        <f t="shared" si="1"/>
        <v>Hero_Monkey_King.Pick</v>
      </c>
      <c r="E16" s="3" t="s">
        <v>204</v>
      </c>
      <c r="F16" s="3" t="s">
        <v>138</v>
      </c>
      <c r="G16" s="3">
        <v>26</v>
      </c>
      <c r="H16" s="3">
        <v>2.4</v>
      </c>
      <c r="I16" s="3">
        <v>30</v>
      </c>
      <c r="J16" s="3">
        <v>2.6</v>
      </c>
      <c r="K16" s="3">
        <v>18</v>
      </c>
      <c r="L16" s="3">
        <v>2.2000000000000002</v>
      </c>
      <c r="M16" s="3">
        <v>1.65</v>
      </c>
      <c r="O16" s="3">
        <v>29</v>
      </c>
      <c r="P16" s="3">
        <v>35</v>
      </c>
      <c r="Q16" s="3">
        <v>300</v>
      </c>
      <c r="R16" s="3">
        <v>300</v>
      </c>
      <c r="T16" s="3">
        <v>0.65</v>
      </c>
      <c r="U16" s="3">
        <v>0</v>
      </c>
      <c r="AC16" s="3" t="s">
        <v>149</v>
      </c>
      <c r="AD16" s="3" t="s">
        <v>157</v>
      </c>
      <c r="AE16" s="3" t="s">
        <v>164</v>
      </c>
      <c r="AF16" s="3" t="s">
        <v>173</v>
      </c>
      <c r="AG16" s="3" t="s">
        <v>182</v>
      </c>
      <c r="AH16" s="3" t="s">
        <v>207</v>
      </c>
      <c r="AI16" s="3" t="s">
        <v>207</v>
      </c>
      <c r="AJ16" s="3" t="s">
        <v>207</v>
      </c>
      <c r="AK16" s="3" t="s">
        <v>207</v>
      </c>
      <c r="AL16" s="3">
        <v>10</v>
      </c>
      <c r="AM16" s="3" t="s">
        <v>94</v>
      </c>
      <c r="AN16" s="3" t="s">
        <v>95</v>
      </c>
      <c r="AO16" s="3" t="s">
        <v>96</v>
      </c>
      <c r="AP16" s="3" t="s">
        <v>97</v>
      </c>
      <c r="AQ16" s="3" t="s">
        <v>98</v>
      </c>
      <c r="AR16" s="3" t="s">
        <v>99</v>
      </c>
      <c r="AS16" s="3" t="s">
        <v>100</v>
      </c>
      <c r="AT16" s="3" t="s">
        <v>101</v>
      </c>
      <c r="AU16" s="3" t="s">
        <v>207</v>
      </c>
    </row>
    <row r="17" spans="1:47" ht="18" customHeight="1" x14ac:dyDescent="0.2">
      <c r="A17" s="2" t="s">
        <v>136</v>
      </c>
      <c r="B17" s="2" t="s">
        <v>119</v>
      </c>
      <c r="C17" s="3" t="str">
        <f t="shared" si="0"/>
        <v>npc_dota_hero_spectre</v>
      </c>
      <c r="D17" s="3" t="str">
        <f t="shared" si="1"/>
        <v>Hero_Spectre.Pick</v>
      </c>
      <c r="E17" s="3" t="s">
        <v>205</v>
      </c>
      <c r="F17" s="3" t="s">
        <v>69</v>
      </c>
      <c r="G17" s="3">
        <v>36</v>
      </c>
      <c r="H17" s="3">
        <v>2.4</v>
      </c>
      <c r="I17" s="3">
        <v>14</v>
      </c>
      <c r="J17" s="3">
        <v>3.2</v>
      </c>
      <c r="K17" s="3">
        <v>20</v>
      </c>
      <c r="L17" s="3">
        <v>2.2000000000000002</v>
      </c>
      <c r="M17" s="3">
        <v>1.7</v>
      </c>
      <c r="O17" s="3">
        <v>38</v>
      </c>
      <c r="P17" s="3">
        <v>45</v>
      </c>
      <c r="Q17" s="3">
        <v>150</v>
      </c>
      <c r="R17" s="3">
        <v>310</v>
      </c>
      <c r="T17" s="3">
        <v>4.4400000000000004</v>
      </c>
      <c r="U17" s="3">
        <v>0</v>
      </c>
      <c r="AB17" s="3" t="s">
        <v>123</v>
      </c>
      <c r="AC17" s="3" t="s">
        <v>150</v>
      </c>
      <c r="AD17" s="3" t="s">
        <v>120</v>
      </c>
      <c r="AE17" s="3" t="s">
        <v>165</v>
      </c>
      <c r="AF17" s="3" t="s">
        <v>174</v>
      </c>
      <c r="AG17" s="3" t="s">
        <v>183</v>
      </c>
      <c r="AH17" s="3" t="s">
        <v>218</v>
      </c>
      <c r="AI17" s="3" t="s">
        <v>207</v>
      </c>
      <c r="AJ17" s="3" t="s">
        <v>207</v>
      </c>
      <c r="AK17" s="3" t="s">
        <v>207</v>
      </c>
      <c r="AL17" s="3">
        <v>10</v>
      </c>
      <c r="AM17" s="3" t="s">
        <v>94</v>
      </c>
      <c r="AN17" s="3" t="s">
        <v>95</v>
      </c>
      <c r="AO17" s="3" t="s">
        <v>96</v>
      </c>
      <c r="AP17" s="3" t="s">
        <v>97</v>
      </c>
      <c r="AQ17" s="3" t="s">
        <v>98</v>
      </c>
      <c r="AR17" s="3" t="s">
        <v>99</v>
      </c>
      <c r="AS17" s="3" t="s">
        <v>100</v>
      </c>
      <c r="AT17" s="3" t="s">
        <v>101</v>
      </c>
      <c r="AU17" s="3" t="s">
        <v>207</v>
      </c>
    </row>
    <row r="18" spans="1:47" ht="18" customHeight="1" x14ac:dyDescent="0.2">
      <c r="A18" s="2" t="s">
        <v>137</v>
      </c>
      <c r="B18" s="2" t="s">
        <v>121</v>
      </c>
      <c r="C18" s="3" t="str">
        <f t="shared" si="0"/>
        <v>npc_dota_hero_oracle</v>
      </c>
      <c r="D18" s="3" t="str">
        <f t="shared" si="1"/>
        <v>Hero_Oracle.Pick</v>
      </c>
      <c r="E18" s="3" t="s">
        <v>206</v>
      </c>
      <c r="F18" s="3" t="s">
        <v>139</v>
      </c>
      <c r="G18" s="3">
        <v>20</v>
      </c>
      <c r="H18" s="3">
        <v>2.2999999999999998</v>
      </c>
      <c r="I18" s="3">
        <v>13</v>
      </c>
      <c r="J18" s="3">
        <v>1.8</v>
      </c>
      <c r="K18" s="3">
        <v>26</v>
      </c>
      <c r="L18" s="3">
        <v>2.6</v>
      </c>
      <c r="M18" s="3">
        <v>1.3</v>
      </c>
      <c r="O18" s="3">
        <v>13</v>
      </c>
      <c r="P18" s="3">
        <v>20</v>
      </c>
      <c r="Q18" s="3">
        <v>620</v>
      </c>
      <c r="R18" s="3">
        <v>295</v>
      </c>
      <c r="T18" s="3">
        <v>0</v>
      </c>
      <c r="U18" s="3">
        <v>0</v>
      </c>
      <c r="AC18" s="3" t="s">
        <v>151</v>
      </c>
      <c r="AD18" s="3" t="s">
        <v>122</v>
      </c>
      <c r="AE18" s="3" t="s">
        <v>166</v>
      </c>
      <c r="AF18" s="3" t="s">
        <v>175</v>
      </c>
      <c r="AG18" s="3" t="s">
        <v>184</v>
      </c>
      <c r="AH18" s="3" t="s">
        <v>207</v>
      </c>
      <c r="AI18" s="3" t="s">
        <v>207</v>
      </c>
      <c r="AJ18" s="3" t="s">
        <v>207</v>
      </c>
      <c r="AK18" s="3" t="s">
        <v>207</v>
      </c>
      <c r="AL18" s="3">
        <v>10</v>
      </c>
      <c r="AM18" s="3" t="s">
        <v>94</v>
      </c>
      <c r="AN18" s="3" t="s">
        <v>95</v>
      </c>
      <c r="AO18" s="3" t="s">
        <v>96</v>
      </c>
      <c r="AP18" s="3" t="s">
        <v>97</v>
      </c>
      <c r="AQ18" s="3" t="s">
        <v>98</v>
      </c>
      <c r="AR18" s="3" t="s">
        <v>99</v>
      </c>
      <c r="AS18" s="3" t="s">
        <v>100</v>
      </c>
      <c r="AT18" s="3" t="s">
        <v>101</v>
      </c>
      <c r="AU18" s="3" t="s">
        <v>207</v>
      </c>
    </row>
  </sheetData>
  <phoneticPr fontId="1" type="noConversion"/>
  <conditionalFormatting sqref="B1048470:E1048576">
    <cfRule type="expression" dxfId="15" priority="5">
      <formula>MOD(ROW(A1048469),2)&lt;1</formula>
    </cfRule>
    <cfRule type="expression" dxfId="14" priority="6">
      <formula>MOD(ROW(B1048470),2)&lt;1</formula>
    </cfRule>
  </conditionalFormatting>
  <conditionalFormatting sqref="XEH1048470:XFD1048576 O1048470:S1048576">
    <cfRule type="expression" dxfId="13" priority="7">
      <formula>MOD(ROW(M1048469),2)&lt;1</formula>
    </cfRule>
    <cfRule type="expression" dxfId="12" priority="8">
      <formula>MOD(ROW(O1048470),2)&lt;1</formula>
    </cfRule>
  </conditionalFormatting>
  <conditionalFormatting sqref="A3:A1048576">
    <cfRule type="expression" dxfId="11" priority="9">
      <formula>MOD(ROW(#REF!),2)&lt;1</formula>
    </cfRule>
    <cfRule type="expression" dxfId="10" priority="10">
      <formula>MOD(ROW(A3),2)&lt;1</formula>
    </cfRule>
  </conditionalFormatting>
  <conditionalFormatting sqref="O3:Y1048469 B3:M3 B19:M1048469 B12:B18 B4:B10 C4:M18">
    <cfRule type="expression" dxfId="9" priority="11">
      <formula>MOD(ROW(#REF!),2)&lt;1</formula>
    </cfRule>
    <cfRule type="expression" dxfId="8" priority="12">
      <formula>MOD(ROW(B3),2)&lt;1</formula>
    </cfRule>
  </conditionalFormatting>
  <conditionalFormatting sqref="AV3:XFD1048469 AV1048470:XEG1048576 Z3:AT1048576">
    <cfRule type="expression" dxfId="7" priority="13">
      <formula>MOD(ROW(#REF!),2)&lt;1</formula>
    </cfRule>
    <cfRule type="expression" dxfId="6" priority="14">
      <formula>MOD(ROW(Z3),2)&lt;1</formula>
    </cfRule>
  </conditionalFormatting>
  <conditionalFormatting sqref="N3:N1048576">
    <cfRule type="expression" dxfId="5" priority="3">
      <formula>MOD(ROW(#REF!),2)&lt;1</formula>
    </cfRule>
    <cfRule type="expression" dxfId="4" priority="4">
      <formula>MOD(ROW(N3),2)&lt;1</formula>
    </cfRule>
  </conditionalFormatting>
  <conditionalFormatting sqref="T1048470:Y1048576 F1048470:M1048576">
    <cfRule type="expression" dxfId="3" priority="15">
      <formula>MOD(ROW(C1048469),2)&lt;1</formula>
    </cfRule>
    <cfRule type="expression" dxfId="2" priority="16">
      <formula>MOD(ROW(F1048470),2)&lt;1</formula>
    </cfRule>
  </conditionalFormatting>
  <conditionalFormatting sqref="AU3:AU1048576">
    <cfRule type="expression" dxfId="1" priority="1">
      <formula>MOD(ROW(#REF!),2)&lt;1</formula>
    </cfRule>
    <cfRule type="expression" dxfId="0" priority="2">
      <formula>MOD(ROW(AU3),2)&lt;1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E19F1E2-8886-4C05-AF67-B041715FD1D6}">
          <x14:formula1>
            <xm:f>Sheet2!$A$2:$A$4</xm:f>
          </x14:formula1>
          <xm:sqref>F3:F1048576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backup_Sheet1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bigciba</dc:creator>
  <cp:lastModifiedBy>wan</cp:lastModifiedBy>
  <dcterms:created xsi:type="dcterms:W3CDTF">2015-06-05T18:19:34Z</dcterms:created>
  <dcterms:modified xsi:type="dcterms:W3CDTF">2020-08-18T14:40:16Z</dcterms:modified>
</cp:coreProperties>
</file>