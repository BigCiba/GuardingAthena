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4_kv配置表\"/>
    </mc:Choice>
  </mc:AlternateContent>
  <xr:revisionPtr revIDLastSave="0" documentId="13_ncr:1_{1511D985-48D2-4F20-8C8C-839875DB1214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Sheet1!$A$1:$AA$4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7" i="1"/>
  <c r="D9" i="1"/>
  <c r="D11" i="1"/>
  <c r="D13" i="1"/>
  <c r="D15" i="1"/>
  <c r="D17" i="1"/>
  <c r="D19" i="1"/>
  <c r="D21" i="1"/>
  <c r="D23" i="1"/>
  <c r="D25" i="1"/>
  <c r="D27" i="1"/>
  <c r="D29" i="1"/>
  <c r="D31" i="1"/>
  <c r="D33" i="1"/>
  <c r="D35" i="1"/>
  <c r="D37" i="1"/>
  <c r="D39" i="1"/>
  <c r="D41" i="1"/>
  <c r="D43" i="1"/>
  <c r="D45" i="1"/>
  <c r="D3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<sst xmlns="http://schemas.openxmlformats.org/spreadsheetml/2006/main" count="533" uniqueCount="381">
  <si>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</si>
  <si>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</si>
  <si>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</si>
  <si>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</si>
  <si>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</si>
  <si>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</si>
  <si>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</si>
  <si>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</si>
  <si>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</si>
  <si>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</si>
  <si>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</si>
  <si>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</si>
  <si>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</si>
  <si>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</si>
  <si>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</si>
  <si>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</si>
  <si>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</si>
  <si>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</si>
  <si>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</si>
  <si>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</si>
  <si>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</si>
  <si>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</si>
  <si>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</si>
  <si>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</si>
  <si>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</si>
  <si>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</si>
  <si>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</si>
  <si>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</si>
  <si>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</si>
  <si>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</si>
  <si>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</si>
  <si>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</si>
  <si>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</si>
  <si>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</si>
  <si>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</si>
  <si>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</si>
  <si>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</si>
  <si>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</si>
  <si>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</si>
  <si>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</si>
  <si>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</si>
  <si>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</si>
  <si>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</si>
  <si>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</si>
  <si>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</si>
  <si>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</si>
  <si>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</si>
  <si>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</si>
  <si>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</si>
  <si>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</si>
  <si>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</si>
  <si>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</si>
  <si>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</si>
  <si>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</si>
  <si>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</si>
  <si>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</si>
  <si>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</si>
  <si>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</si>
  <si>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</si>
  <si>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</si>
  <si>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</si>
  <si>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</si>
  <si>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</si>
  <si>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</si>
  <si>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</si>
  <si>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</si>
  <si>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</si>
  <si>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</si>
  <si>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</si>
  <si>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</si>
  <si>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</si>
  <si>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</si>
  <si>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</si>
  <si>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</si>
  <si>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</si>
  <si>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</si>
  <si>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</si>
  <si>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</si>
  <si>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</si>
  <si>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</si>
  <si>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</si>
  <si>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</si>
  <si>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</si>
  <si>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</si>
  <si>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</si>
  <si>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</si>
  <si>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</si>
  <si>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</si>
  <si>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</si>
  <si>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</si>
  <si>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</si>
  <si>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</si>
  <si>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</si>
  <si>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</si>
  <si>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</si>
  <si>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</si>
  <si>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</si>
  <si>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</si>
  <si>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</si>
  <si>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</si>
  <si>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</si>
  <si>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</si>
  <si>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</si>
  <si>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</si>
  <si>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</si>
  <si>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</si>
  <si>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</si>
  <si>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</si>
  <si>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</si>
  <si>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</si>
  <si>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</si>
  <si>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</si>
  <si>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</si>
  <si>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</si>
  <si>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</si>
  <si>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</si>
  <si>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</si>
  <si>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</si>
  <si>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</si>
  <si>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</si>
  <si>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</si>
  <si>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</si>
  <si>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</si>
  <si>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</si>
  <si>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</si>
  <si>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</si>
  <si>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</si>
  <si>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</si>
  <si>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</si>
  <si>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</si>
  <si>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</si>
  <si>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</si>
  <si>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</si>
  <si>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</si>
  <si>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</si>
  <si>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</si>
  <si>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</si>
  <si>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</si>
  <si>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</si>
  <si>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</si>
  <si>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</si>
  <si>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</si>
  <si>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</si>
  <si>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</si>
  <si>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</si>
  <si>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</si>
  <si>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</si>
  <si>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</si>
  <si>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</si>
  <si>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</si>
  <si>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</si>
  <si>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</si>
  <si>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</si>
  <si>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</si>
  <si>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</si>
  <si>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</si>
  <si>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</si>
  <si>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</si>
  <si>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</si>
  <si>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</si>
  <si>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</si>
  <si>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</si>
  <si>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</si>
  <si>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</si>
  <si>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</si>
  <si>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</si>
  <si>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</si>
  <si>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</si>
  <si>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最大等级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</si>
  <si>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</si>
  <si>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</si>
  <si>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</si>
  <si>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</si>
  <si>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</si>
  <si>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AbilityUnitDamageType</t>
    <phoneticPr fontId="1" type="noConversion"/>
  </si>
  <si>
    <t>AbilitySpecial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</si>
  <si>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</si>
  <si>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</si>
  <si>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</si>
  <si>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</si>
  <si>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</si>
  <si>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</si>
  <si>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</si>
  <si>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</si>
  <si>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</si>
  <si>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基础等级</t>
    <phoneticPr fontId="1" type="noConversion"/>
  </si>
  <si>
    <t>DOTA_ABILITY_BEHAVIOR_NO_TARGET | DOTA_ABILITY_BEHAVIOR_IMMEDIATE</t>
    <phoneticPr fontId="1" type="noConversion"/>
  </si>
  <si>
    <t>物品ID</t>
    <phoneticPr fontId="1" type="noConversion"/>
  </si>
  <si>
    <t>是否出售</t>
    <phoneticPr fontId="1" type="noConversion"/>
  </si>
  <si>
    <t>能否购买</t>
    <phoneticPr fontId="1" type="noConversion"/>
  </si>
  <si>
    <t>永久的</t>
    <phoneticPr fontId="1" type="noConversion"/>
  </si>
  <si>
    <t>可叠加</t>
    <phoneticPr fontId="1" type="noConversion"/>
  </si>
  <si>
    <t>DOTA_ABILITY_BEHAVIOR_IMMEDIATE</t>
    <phoneticPr fontId="1" type="noConversion"/>
  </si>
  <si>
    <t>价格</t>
    <phoneticPr fontId="1" type="noConversion"/>
  </si>
  <si>
    <t>拾取使用</t>
    <phoneticPr fontId="1" type="noConversion"/>
  </si>
  <si>
    <t>初始数量</t>
    <phoneticPr fontId="1" type="noConversion"/>
  </si>
  <si>
    <t>Model</t>
    <phoneticPr fontId="1" type="noConversion"/>
  </si>
  <si>
    <t>Effect</t>
    <phoneticPr fontId="1" type="noConversion"/>
  </si>
  <si>
    <t>ItemCastOnPickup</t>
    <phoneticPr fontId="1" type="noConversion"/>
  </si>
  <si>
    <t>金袋</t>
    <phoneticPr fontId="1" type="noConversion"/>
  </si>
  <si>
    <t>ui.comp_coins_tick</t>
    <phoneticPr fontId="1" type="noConversion"/>
  </si>
  <si>
    <t>施法距离</t>
    <phoneticPr fontId="1" type="noConversion"/>
  </si>
  <si>
    <t>模型</t>
    <phoneticPr fontId="1" type="noConversion"/>
  </si>
  <si>
    <t>特效</t>
    <phoneticPr fontId="1" type="noConversion"/>
  </si>
  <si>
    <t>拾取音效</t>
    <phoneticPr fontId="1" type="noConversion"/>
  </si>
  <si>
    <t>gold</t>
    <phoneticPr fontId="1" type="noConversion"/>
  </si>
  <si>
    <t>UIPickupSound</t>
    <phoneticPr fontId="1" type="noConversion"/>
  </si>
  <si>
    <t>ID</t>
    <phoneticPr fontId="1" type="noConversion"/>
  </si>
  <si>
    <t>MaxUpgradeLevel</t>
    <phoneticPr fontId="1" type="noConversion"/>
  </si>
  <si>
    <t>ItemBaseLevel</t>
    <phoneticPr fontId="1" type="noConversion"/>
  </si>
  <si>
    <t>ItemCost</t>
    <phoneticPr fontId="1" type="noConversion"/>
  </si>
  <si>
    <t>ItemSellable</t>
    <phoneticPr fontId="1" type="noConversion"/>
  </si>
  <si>
    <t>ItemPurchasable</t>
    <phoneticPr fontId="1" type="noConversion"/>
  </si>
  <si>
    <t>ItemPermanent</t>
    <phoneticPr fontId="1" type="noConversion"/>
  </si>
  <si>
    <t>ItemStackable</t>
    <phoneticPr fontId="1" type="noConversion"/>
  </si>
  <si>
    <t>ItemInitialCharges</t>
    <phoneticPr fontId="1" type="noConversion"/>
  </si>
  <si>
    <t>AbilityCastRange</t>
    <phoneticPr fontId="1" type="noConversion"/>
  </si>
  <si>
    <t>item_lua</t>
    <phoneticPr fontId="1" type="noConversion"/>
  </si>
  <si>
    <t>models/props_gameplay/gold_bag.vmdl</t>
    <phoneticPr fontId="1" type="noConversion"/>
  </si>
  <si>
    <t>particles/generic_gameplay/dropped_item.vpcf</t>
    <phoneticPr fontId="1" type="noConversion"/>
  </si>
  <si>
    <t>item_bag_of_coin</t>
    <phoneticPr fontId="1" type="noConversion"/>
  </si>
  <si>
    <t>AbilityUnitTargetType</t>
    <phoneticPr fontId="1" type="noConversion"/>
  </si>
  <si>
    <t>AbilityUnitTargetTeam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</si>
  <si>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</si>
  <si>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</si>
  <si>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</si>
  <si>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ItemShareability</t>
    <phoneticPr fontId="1" type="noConversion"/>
  </si>
  <si>
    <t>ItemRequiresCharges</t>
    <phoneticPr fontId="1" type="noConversion"/>
  </si>
  <si>
    <t>ItemDroppable</t>
    <phoneticPr fontId="1" type="noConversion"/>
  </si>
  <si>
    <t>ItemQuality</t>
    <phoneticPr fontId="1" type="noConversion"/>
  </si>
  <si>
    <t>ItemKillable</t>
    <phoneticPr fontId="1" type="noConversion"/>
  </si>
  <si>
    <t>ItemDisassembleRule</t>
  </si>
  <si>
    <t>ItemDisassembleRule</t>
    <phoneticPr fontId="1" type="noConversion"/>
  </si>
  <si>
    <t>ItemStockTime</t>
    <phoneticPr fontId="1" type="noConversion"/>
  </si>
  <si>
    <t>DOTA_ABILITY_BEHAVIOR_NO_TARGET| DOTA_ABILITY_BEHAVIOR_IMMEDIATE</t>
    <phoneticPr fontId="1" type="noConversion"/>
  </si>
  <si>
    <t>item_ogre_1</t>
    <phoneticPr fontId="1" type="noConversion"/>
  </si>
  <si>
    <t>DOTA_ABILITY_BEHAVIOR_POINT</t>
  </si>
  <si>
    <t>bonus_attack</t>
    <phoneticPr fontId="1" type="noConversion"/>
  </si>
  <si>
    <t>damage</t>
    <phoneticPr fontId="1" type="noConversion"/>
  </si>
  <si>
    <t>duration</t>
    <phoneticPr fontId="1" type="noConversion"/>
  </si>
  <si>
    <t>DOTA_UNIT_TARGET_HERO | DOTA_UNIT_TARGET_BASIC</t>
    <phoneticPr fontId="1" type="noConversion"/>
  </si>
  <si>
    <t>DOTA_UNIT_TARGET_TEAM_ENEMY</t>
    <phoneticPr fontId="1" type="noConversion"/>
  </si>
  <si>
    <t>DAMAGE_TYPE_MAGICAL</t>
    <phoneticPr fontId="1" type="noConversion"/>
  </si>
  <si>
    <t>ITEM_FULLY_SHAREABLE</t>
    <phoneticPr fontId="1" type="noConversion"/>
  </si>
  <si>
    <t>item_ogre_2</t>
    <phoneticPr fontId="1" type="noConversion"/>
  </si>
  <si>
    <t>bonus_health</t>
    <phoneticPr fontId="1" type="noConversion"/>
  </si>
  <si>
    <t>item_ogre_3</t>
    <phoneticPr fontId="1" type="noConversion"/>
  </si>
  <si>
    <t>bonus_str</t>
    <phoneticPr fontId="1" type="noConversion"/>
  </si>
  <si>
    <t>item_ogre_4</t>
    <phoneticPr fontId="1" type="noConversion"/>
  </si>
  <si>
    <t>item_faerie_fire</t>
    <phoneticPr fontId="1" type="noConversion"/>
  </si>
  <si>
    <t>damage_block</t>
    <phoneticPr fontId="1" type="noConversion"/>
  </si>
  <si>
    <t>bonus_hp_regen</t>
    <phoneticPr fontId="1" type="noConversion"/>
  </si>
  <si>
    <t>item_tango</t>
    <phoneticPr fontId="1" type="noConversion"/>
  </si>
  <si>
    <t>item_branches</t>
    <phoneticPr fontId="1" type="noConversion"/>
  </si>
  <si>
    <t>item_tree_4</t>
    <phoneticPr fontId="1" type="noConversion"/>
  </si>
  <si>
    <t>DOTA_ABILITY_BEHAVIOR_IMMEDIATE | DOTA_ABILITY_BEHAVIOR_NO_TARGET</t>
    <phoneticPr fontId="1" type="noConversion"/>
  </si>
  <si>
    <t>armor</t>
    <phoneticPr fontId="1" type="noConversion"/>
  </si>
  <si>
    <t>regen</t>
    <phoneticPr fontId="1" type="noConversion"/>
  </si>
  <si>
    <t>item_refresher1</t>
    <phoneticPr fontId="1" type="noConversion"/>
  </si>
  <si>
    <t>models/props_gameplay/refresher_shard.vmdl</t>
    <phoneticPr fontId="1" type="noConversion"/>
  </si>
  <si>
    <t>particles/generic_gameplay/dropped_refresher_shard.vpcf</t>
    <phoneticPr fontId="1" type="noConversion"/>
  </si>
  <si>
    <t>item_refresher_shard</t>
    <phoneticPr fontId="1" type="noConversion"/>
  </si>
  <si>
    <t>bonus_health_regen</t>
    <phoneticPr fontId="1" type="noConversion"/>
  </si>
  <si>
    <t>bonus_mana_regen_percentage</t>
    <phoneticPr fontId="1" type="noConversion"/>
  </si>
  <si>
    <t>rare</t>
    <phoneticPr fontId="1" type="noConversion"/>
  </si>
  <si>
    <t>item_soul_eye</t>
    <phoneticPr fontId="1" type="noConversion"/>
  </si>
  <si>
    <t>models/props_gameplay/red_box.vmdl</t>
    <phoneticPr fontId="1" type="noConversion"/>
  </si>
  <si>
    <t>DOTA_ABILITY_BEHAVIOR_IMMEDIATE | DOTA_ABILITY_BEHAVIOR_POINT</t>
    <phoneticPr fontId="1" type="noConversion"/>
  </si>
  <si>
    <t>bonus_magic_damage</t>
    <phoneticPr fontId="1" type="noConversion"/>
  </si>
  <si>
    <t>ignore_resistance</t>
    <phoneticPr fontId="1" type="noConversion"/>
  </si>
  <si>
    <t>reduce_resistance</t>
    <phoneticPr fontId="1" type="noConversion"/>
  </si>
  <si>
    <t>increase_damage</t>
    <phoneticPr fontId="1" type="noConversion"/>
  </si>
  <si>
    <t>radius</t>
    <phoneticPr fontId="1" type="noConversion"/>
  </si>
  <si>
    <t>item_soul_cloak</t>
    <phoneticPr fontId="1" type="noConversion"/>
  </si>
  <si>
    <t>bonus_resistance</t>
    <phoneticPr fontId="1" type="noConversion"/>
  </si>
  <si>
    <t>bonus_health_regen_percent</t>
    <phoneticPr fontId="1" type="noConversion"/>
  </si>
  <si>
    <t>interval</t>
    <phoneticPr fontId="1" type="noConversion"/>
  </si>
  <si>
    <t>shield</t>
    <phoneticPr fontId="1" type="noConversion"/>
  </si>
  <si>
    <t>item_death_cloak</t>
    <phoneticPr fontId="1" type="noConversion"/>
  </si>
  <si>
    <t>damage_increase</t>
    <phoneticPr fontId="1" type="noConversion"/>
  </si>
  <si>
    <t>item_heart</t>
    <phoneticPr fontId="1" type="noConversion"/>
  </si>
  <si>
    <t>item_blood_mask_broken</t>
    <phoneticPr fontId="1" type="noConversion"/>
  </si>
  <si>
    <t>item_demon_heart</t>
    <phoneticPr fontId="1" type="noConversion"/>
  </si>
  <si>
    <t>item_aegis</t>
    <phoneticPr fontId="1" type="noConversion"/>
  </si>
  <si>
    <t>item_blood_fruit</t>
    <phoneticPr fontId="1" type="noConversion"/>
  </si>
  <si>
    <t>blood_fruit</t>
    <phoneticPr fontId="1" type="noConversion"/>
  </si>
  <si>
    <t>epic</t>
    <phoneticPr fontId="1" type="noConversion"/>
  </si>
  <si>
    <t>DOTA_ITEM_DISASSEMBLE_NEVER</t>
  </si>
  <si>
    <t>DOTA_ITEM_DISASSEMBLE_NEVER</t>
    <phoneticPr fontId="1" type="noConversion"/>
  </si>
  <si>
    <t>item_exp_fruit</t>
    <phoneticPr fontId="1" type="noConversion"/>
  </si>
  <si>
    <t>item_enchanted_mango</t>
    <phoneticPr fontId="1" type="noConversion"/>
  </si>
  <si>
    <t>item_gold_fruit</t>
    <phoneticPr fontId="1" type="noConversion"/>
  </si>
  <si>
    <t>item_cheese</t>
    <phoneticPr fontId="1" type="noConversion"/>
  </si>
  <si>
    <t>item_water_gun</t>
    <phoneticPr fontId="1" type="noConversion"/>
  </si>
  <si>
    <t>water_gun</t>
    <phoneticPr fontId="1" type="noConversion"/>
  </si>
  <si>
    <t>DOTA_ABILITY_BEHAVIOR_IMMEDIATE | DOTA_ABILITY_BEHAVIOR_UNIT_TARGET</t>
    <phoneticPr fontId="1" type="noConversion"/>
  </si>
  <si>
    <t>DOTA_UNIT_TARGET_TEAM_BOTH</t>
    <phoneticPr fontId="1" type="noConversion"/>
  </si>
  <si>
    <t>item_poison_water_gun</t>
    <phoneticPr fontId="1" type="noConversion"/>
  </si>
  <si>
    <t>item_battlefury_ring</t>
    <phoneticPr fontId="1" type="noConversion"/>
  </si>
  <si>
    <t>particles/items/battlefury_ring_absorb.vpcf</t>
    <phoneticPr fontId="1" type="noConversion"/>
  </si>
  <si>
    <t>bonus_all_stats</t>
    <phoneticPr fontId="1" type="noConversion"/>
  </si>
  <si>
    <t>bonus_damage</t>
    <phoneticPr fontId="1" type="noConversion"/>
  </si>
  <si>
    <t>aura_radius</t>
    <phoneticPr fontId="1" type="noConversion"/>
  </si>
  <si>
    <t>aura_damage</t>
    <phoneticPr fontId="1" type="noConversion"/>
  </si>
  <si>
    <t>aura_interval</t>
    <phoneticPr fontId="1" type="noConversion"/>
  </si>
  <si>
    <t>skill_radius</t>
    <phoneticPr fontId="1" type="noConversion"/>
  </si>
  <si>
    <t>skill_damage</t>
    <phoneticPr fontId="1" type="noConversion"/>
  </si>
  <si>
    <t>suicide</t>
    <phoneticPr fontId="1" type="noConversion"/>
  </si>
  <si>
    <t>DAMAGE_TYPE_PURE</t>
    <phoneticPr fontId="1" type="noConversion"/>
  </si>
  <si>
    <t>artifact</t>
    <phoneticPr fontId="1" type="noConversion"/>
  </si>
  <si>
    <t>食人魔的大棒</t>
    <phoneticPr fontId="1" type="noConversion"/>
  </si>
  <si>
    <t>食人魔的护甲</t>
    <phoneticPr fontId="1" type="noConversion"/>
  </si>
  <si>
    <t>食人魔的护腕</t>
    <phoneticPr fontId="1" type="noConversion"/>
  </si>
  <si>
    <t>食人魔的套装</t>
    <phoneticPr fontId="1" type="noConversion"/>
  </si>
  <si>
    <t>models/props_gameplay/tango.vmdl</t>
  </si>
  <si>
    <t>models/props_gameplay/branch.vmdl</t>
  </si>
  <si>
    <t>models/props_gameplay/mango.vmdl</t>
  </si>
  <si>
    <t>models/props_gameplay/cheese.vmdl</t>
  </si>
  <si>
    <t>particles/generic_gameplay/dropped_tango.vpcf</t>
  </si>
  <si>
    <t>施法前摇</t>
    <phoneticPr fontId="1" type="noConversion"/>
  </si>
  <si>
    <t>冷却</t>
    <phoneticPr fontId="1" type="noConversion"/>
  </si>
  <si>
    <t>魔耗</t>
    <phoneticPr fontId="1" type="noConversion"/>
  </si>
  <si>
    <t>component</t>
    <phoneticPr fontId="1" type="noConversion"/>
  </si>
  <si>
    <t>common</t>
    <phoneticPr fontId="1" type="noConversion"/>
  </si>
  <si>
    <t>consumable</t>
    <phoneticPr fontId="1" type="noConversion"/>
  </si>
  <si>
    <t>sceret_shop</t>
    <phoneticPr fontId="1" type="noConversion"/>
  </si>
  <si>
    <t>注解</t>
    <phoneticPr fontId="1" type="noConversion"/>
  </si>
  <si>
    <t>属性</t>
    <phoneticPr fontId="1" type="noConversion"/>
  </si>
  <si>
    <t>基础</t>
    <phoneticPr fontId="1" type="noConversion"/>
  </si>
  <si>
    <t>隐藏（无效）</t>
    <phoneticPr fontId="1" type="noConversion"/>
  </si>
  <si>
    <t>大招</t>
    <phoneticPr fontId="1" type="noConversion"/>
  </si>
  <si>
    <t>魔法</t>
    <phoneticPr fontId="1" type="noConversion"/>
  </si>
  <si>
    <t>物理</t>
    <phoneticPr fontId="1" type="noConversion"/>
  </si>
  <si>
    <t>纯粹</t>
    <phoneticPr fontId="1" type="noConversion"/>
  </si>
  <si>
    <t>物品质量</t>
    <phoneticPr fontId="1" type="noConversion"/>
  </si>
  <si>
    <t>组件</t>
    <phoneticPr fontId="1" type="noConversion"/>
  </si>
  <si>
    <r>
      <t>稀有（</t>
    </r>
    <r>
      <rPr>
        <sz val="11"/>
        <color theme="4" tint="-0.249977111117893"/>
        <rFont val="等线"/>
        <family val="3"/>
        <charset val="134"/>
        <scheme val="minor"/>
      </rPr>
      <t>蓝</t>
    </r>
    <r>
      <rPr>
        <sz val="11"/>
        <color theme="1"/>
        <rFont val="等线"/>
        <family val="2"/>
        <scheme val="minor"/>
      </rPr>
      <t>）</t>
    </r>
    <phoneticPr fontId="1" type="noConversion"/>
  </si>
  <si>
    <r>
      <t>史诗（</t>
    </r>
    <r>
      <rPr>
        <sz val="11"/>
        <color rgb="FF7030A0"/>
        <rFont val="等线"/>
        <family val="3"/>
        <charset val="134"/>
        <scheme val="minor"/>
      </rPr>
      <t>紫</t>
    </r>
    <r>
      <rPr>
        <sz val="11"/>
        <color theme="1"/>
        <rFont val="等线"/>
        <family val="2"/>
        <scheme val="minor"/>
      </rPr>
      <t>）</t>
    </r>
    <phoneticPr fontId="1" type="noConversion"/>
  </si>
  <si>
    <r>
      <t>普通（</t>
    </r>
    <r>
      <rPr>
        <sz val="11"/>
        <color theme="9" tint="-0.249977111117893"/>
        <rFont val="等线"/>
        <family val="3"/>
        <charset val="134"/>
        <scheme val="minor"/>
      </rPr>
      <t>绿</t>
    </r>
    <r>
      <rPr>
        <sz val="11"/>
        <color theme="1"/>
        <rFont val="等线"/>
        <family val="2"/>
        <scheme val="minor"/>
      </rPr>
      <t>）</t>
    </r>
    <phoneticPr fontId="1" type="noConversion"/>
  </si>
  <si>
    <t>消耗品（白）</t>
    <phoneticPr fontId="1" type="noConversion"/>
  </si>
  <si>
    <r>
      <t>神器（</t>
    </r>
    <r>
      <rPr>
        <sz val="11"/>
        <color theme="5"/>
        <rFont val="等线"/>
        <family val="3"/>
        <charset val="134"/>
        <scheme val="minor"/>
      </rPr>
      <t>橙</t>
    </r>
    <r>
      <rPr>
        <sz val="11"/>
        <color theme="1"/>
        <rFont val="等线"/>
        <family val="2"/>
        <scheme val="minor"/>
      </rPr>
      <t>）</t>
    </r>
    <phoneticPr fontId="1" type="noConversion"/>
  </si>
  <si>
    <r>
      <t>神秘商店（</t>
    </r>
    <r>
      <rPr>
        <sz val="11"/>
        <color rgb="FF00FFFF"/>
        <rFont val="等线"/>
        <family val="3"/>
        <charset val="134"/>
        <scheme val="minor"/>
      </rPr>
      <t>青蓝</t>
    </r>
    <r>
      <rPr>
        <sz val="11"/>
        <color theme="1"/>
        <rFont val="等线"/>
        <family val="2"/>
        <scheme val="minor"/>
      </rPr>
      <t>）</t>
    </r>
    <phoneticPr fontId="1" type="noConversion"/>
  </si>
  <si>
    <t>可摧毁</t>
    <phoneticPr fontId="1" type="noConversion"/>
  </si>
  <si>
    <t>可丢弃</t>
    <phoneticPr fontId="1" type="noConversion"/>
  </si>
  <si>
    <t>DOTA_ITEM_DISASSEMBLE_ALWAYS</t>
    <phoneticPr fontId="1" type="noConversion"/>
  </si>
  <si>
    <t>可拆分</t>
    <phoneticPr fontId="1" type="noConversion"/>
  </si>
  <si>
    <t>不可拆分</t>
    <phoneticPr fontId="1" type="noConversion"/>
  </si>
  <si>
    <t>拆分规则</t>
    <phoneticPr fontId="1" type="noConversion"/>
  </si>
  <si>
    <t>技能免疫类型</t>
    <phoneticPr fontId="1" type="noConversion"/>
  </si>
  <si>
    <t>SPELL_IMMUNITY_ALLIES_NO</t>
    <phoneticPr fontId="1" type="noConversion"/>
  </si>
  <si>
    <t>SPELL_IMMUNITY_ALLIES_YES</t>
    <phoneticPr fontId="1" type="noConversion"/>
  </si>
  <si>
    <t>SPELL_IMMUNITY_NONE</t>
    <phoneticPr fontId="1" type="noConversion"/>
  </si>
  <si>
    <t>无</t>
    <phoneticPr fontId="1" type="noConversion"/>
  </si>
  <si>
    <t>不可用于技能免疫的友方</t>
    <phoneticPr fontId="1" type="noConversion"/>
  </si>
  <si>
    <t>可以用于技能免疫的友方</t>
    <phoneticPr fontId="1" type="noConversion"/>
  </si>
  <si>
    <t>可以用于技能免疫的敌方</t>
    <phoneticPr fontId="1" type="noConversion"/>
  </si>
  <si>
    <t>不可用于技能免疫的敌方</t>
    <phoneticPr fontId="1" type="noConversion"/>
  </si>
  <si>
    <t>商店更新时间</t>
    <phoneticPr fontId="1" type="noConversion"/>
  </si>
  <si>
    <t>item_fire_glove</t>
    <phoneticPr fontId="1" type="noConversion"/>
  </si>
  <si>
    <t>item_fire_head</t>
    <phoneticPr fontId="1" type="noConversion"/>
  </si>
  <si>
    <t>绿叶</t>
    <phoneticPr fontId="1" type="noConversion"/>
  </si>
  <si>
    <t>树种</t>
    <phoneticPr fontId="1" type="noConversion"/>
  </si>
  <si>
    <t>树枝</t>
    <phoneticPr fontId="1" type="noConversion"/>
  </si>
  <si>
    <t>巨树护甲</t>
    <phoneticPr fontId="1" type="noConversion"/>
  </si>
  <si>
    <t>倒转阴阳</t>
    <phoneticPr fontId="1" type="noConversion"/>
  </si>
  <si>
    <t>异域魔眼</t>
    <phoneticPr fontId="1" type="noConversion"/>
  </si>
  <si>
    <t>陵卫斗篷</t>
    <phoneticPr fontId="1" type="noConversion"/>
  </si>
  <si>
    <t>死神披风</t>
    <phoneticPr fontId="1" type="noConversion"/>
  </si>
  <si>
    <t>恶魔之拳</t>
    <phoneticPr fontId="1" type="noConversion"/>
  </si>
  <si>
    <t>巴风特之颅</t>
    <phoneticPr fontId="1" type="noConversion"/>
  </si>
  <si>
    <t>恶魔的心脏</t>
    <phoneticPr fontId="1" type="noConversion"/>
  </si>
  <si>
    <t>克洛托的精血</t>
    <phoneticPr fontId="1" type="noConversion"/>
  </si>
  <si>
    <t>神奇芒果</t>
    <phoneticPr fontId="1" type="noConversion"/>
  </si>
  <si>
    <t>命运奶酪</t>
    <phoneticPr fontId="1" type="noConversion"/>
  </si>
  <si>
    <t>水枪</t>
    <phoneticPr fontId="1" type="noConversion"/>
  </si>
  <si>
    <t>中毒的水枪</t>
    <phoneticPr fontId="1" type="noConversion"/>
  </si>
  <si>
    <t>狂战陨戒</t>
    <phoneticPr fontId="1" type="noConversion"/>
  </si>
  <si>
    <t>item_treant_1</t>
    <phoneticPr fontId="1" type="noConversion"/>
  </si>
  <si>
    <t>item_treant_2</t>
  </si>
  <si>
    <t>item_treant_3</t>
  </si>
  <si>
    <t>item_treant_4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</si>
</sst>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5"/>
      <name val="等线"/>
      <family val="3"/>
      <charset val="134"/>
      <scheme val="minor"/>
    </font>
    <font>
      <sz val="11"/>
      <color theme="4" tint="-0.249977111117893"/>
      <name val="等线"/>
      <family val="3"/>
      <charset val="134"/>
      <scheme val="minor"/>
    </font>
    <font>
      <sz val="11"/>
      <color theme="9" tint="-0.249977111117893"/>
      <name val="等线"/>
      <family val="3"/>
      <charset val="134"/>
      <scheme val="minor"/>
    </font>
    <font>
      <sz val="11"/>
      <color rgb="FF7030A0"/>
      <name val="等线"/>
      <family val="3"/>
      <charset val="134"/>
      <scheme val="minor"/>
    </font>
    <font>
      <sz val="11"/>
      <color rgb="FF00FFFF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</cellXfs>
  <cellStyles count="1">
    <cellStyle name="常规" xfId="0" builtinId="0"/>
  </cellStyles>
  <dxfs count="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</dxfs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46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13" sqref="E13"/>
    </sheetView>
  </sheetViews>
  <sheetFormatPr defaultColWidth="9" defaultRowHeight="13.9" x14ac:dyDescent="0.4"/>
  <cols>
    <col min="1" max="1" width="21.265625" style="3" bestFit="1" customWidth="1"/>
    <col min="2" max="2" width="12.796875" style="3" customWidth="1"/>
    <col min="3" max="3" width="14.6640625" style="3" bestFit="1" customWidth="1"/>
    <col min="4" max="4" width="34.53125" style="3" bestFit="1" customWidth="1"/>
    <col min="5" max="5" width="41.59765625" style="3" bestFit="1" customWidth="1"/>
    <col min="6" max="6" width="51.86328125" style="3" bestFit="1" customWidth="1"/>
    <col min="7" max="7" width="16.73046875" style="3" bestFit="1" customWidth="1"/>
    <col min="8" max="8" width="23" style="3" bestFit="1" customWidth="1"/>
    <col min="9" max="9" width="72.265625" style="3" bestFit="1" customWidth="1"/>
    <col min="10" max="10" width="6.73046875" style="3" bestFit="1" customWidth="1"/>
    <col min="11" max="11" width="16.53125" style="3" bestFit="1" customWidth="1"/>
    <col min="12" max="12" width="13" style="3" bestFit="1" customWidth="1"/>
    <col min="13" max="13" width="8.46484375" style="3" bestFit="1" customWidth="1"/>
    <col min="14" max="14" width="11.1328125" style="3" bestFit="1" customWidth="1"/>
    <col min="15" max="15" width="15.1328125" style="3" bestFit="1" customWidth="1"/>
    <col min="16" max="16" width="14.06640625" style="3" bestFit="1" customWidth="1"/>
    <col min="17" max="17" width="12.86328125" style="3" bestFit="1" customWidth="1"/>
    <col min="18" max="18" width="16.73046875" style="3" bestFit="1" customWidth="1"/>
    <col min="19" max="19" width="16.33203125" style="3" bestFit="1" customWidth="1"/>
    <col min="20" max="20" width="15.3984375" style="3" bestFit="1" customWidth="1"/>
    <col min="21" max="21" width="20.33203125" style="1" bestFit="1" customWidth="1"/>
    <col min="22" max="22" width="28.73046875" style="1" bestFit="1" customWidth="1"/>
    <col min="23" max="23" width="16.1328125" style="1" bestFit="1" customWidth="1"/>
    <col min="24" max="24" width="25.86328125" style="1" bestFit="1" customWidth="1"/>
    <col min="25" max="26" width="12.06640625" style="1" bestFit="1" customWidth="1"/>
    <col min="27" max="27" width="15.86328125" style="1" bestFit="1" customWidth="1"/>
    <col min="28" max="28" width="12.06640625" style="1" bestFit="1" customWidth="1"/>
    <col min="29" max="29" width="51.1328125" style="3" bestFit="1" customWidth="1"/>
    <col min="30" max="30" width="32.33203125" style="3" bestFit="1" customWidth="1"/>
    <col min="31" max="31" width="23.19921875" style="3" bestFit="1" customWidth="1"/>
    <col min="32" max="32" width="14.265625" style="3" bestFit="1" customWidth="1"/>
    <col min="33" max="33" width="14.9296875" style="3" bestFit="1" customWidth="1"/>
    <col min="34" max="34" width="14.86328125" style="3" bestFit="1" customWidth="1"/>
    <col min="35" max="35" width="22.265625" style="3" bestFit="1" customWidth="1"/>
    <col min="36" max="36" width="19.33203125" style="3" bestFit="1" customWidth="1"/>
    <col min="37" max="37" width="13.9296875" style="3" bestFit="1" customWidth="1"/>
    <col min="38" max="38" width="10.6640625" style="3" bestFit="1" customWidth="1"/>
    <col min="39" max="39" width="10.59765625" style="3" bestFit="1" customWidth="1"/>
    <col min="40" max="40" width="31.1328125" style="3" bestFit="1" customWidth="1"/>
    <col min="41" max="41" width="13.46484375" style="3" bestFit="1" customWidth="1"/>
    <col min="42" max="42" width="8.9296875" style="3" bestFit="1" customWidth="1"/>
    <col min="43" max="43" width="10.59765625" style="3" bestFit="1" customWidth="1"/>
    <col min="44" max="16384" width="9" style="3"/>
  </cols>
  <sheetData>
    <row r="1" spans="1:41" s="6" customFormat="1" x14ac:dyDescent="0.4">
      <c r="A1" s="6" t="s">
        <v>163</v>
      </c>
      <c r="B1" s="6" t="s">
        <v>164</v>
      </c>
      <c r="C1" s="6" t="s">
        <v>165</v>
      </c>
      <c r="D1" s="6" t="s">
        <v>166</v>
      </c>
      <c r="E1" s="6" t="s">
        <v>202</v>
      </c>
      <c r="F1" s="6" t="s">
        <v>203</v>
      </c>
      <c r="G1" s="6" t="s">
        <v>204</v>
      </c>
      <c r="H1" s="6" t="s">
        <v>167</v>
      </c>
      <c r="I1" s="6" t="s">
        <v>4</v>
      </c>
      <c r="J1" s="6" t="s">
        <v>187</v>
      </c>
      <c r="K1" s="6" t="s">
        <v>168</v>
      </c>
      <c r="L1" s="6" t="s">
        <v>185</v>
      </c>
      <c r="M1" s="6" t="s">
        <v>193</v>
      </c>
      <c r="N1" s="6" t="s">
        <v>188</v>
      </c>
      <c r="O1" s="6" t="s">
        <v>189</v>
      </c>
      <c r="P1" s="6" t="s">
        <v>190</v>
      </c>
      <c r="Q1" s="6" t="s">
        <v>191</v>
      </c>
      <c r="R1" s="6" t="s">
        <v>194</v>
      </c>
      <c r="S1" s="6" t="s">
        <v>195</v>
      </c>
      <c r="T1" s="6" t="s">
        <v>201</v>
      </c>
      <c r="U1" s="6" t="s">
        <v>169</v>
      </c>
      <c r="V1" s="6" t="s">
        <v>169</v>
      </c>
      <c r="W1" s="6" t="s">
        <v>169</v>
      </c>
      <c r="X1" s="6" t="s">
        <v>169</v>
      </c>
      <c r="Y1" s="6" t="s">
        <v>169</v>
      </c>
      <c r="Z1" s="6" t="s">
        <v>169</v>
      </c>
      <c r="AA1" s="6" t="s">
        <v>169</v>
      </c>
      <c r="AB1" s="6" t="s">
        <v>169</v>
      </c>
      <c r="AF1" s="6" t="s">
        <v>319</v>
      </c>
      <c r="AG1" s="6" t="s">
        <v>320</v>
      </c>
      <c r="AH1" s="6" t="s">
        <v>321</v>
      </c>
      <c r="AK1" s="6" t="s">
        <v>343</v>
      </c>
      <c r="AL1" s="6" t="s">
        <v>334</v>
      </c>
      <c r="AM1" s="6" t="s">
        <v>342</v>
      </c>
      <c r="AN1" s="6" t="s">
        <v>347</v>
      </c>
      <c r="AO1" s="6" t="s">
        <v>357</v>
      </c>
    </row>
    <row r="2" spans="1:41" s="6" customFormat="1" x14ac:dyDescent="0.4">
      <c r="A2" s="6" t="s">
        <v>170</v>
      </c>
      <c r="C2" s="6" t="s">
        <v>171</v>
      </c>
      <c r="D2" s="6" t="s">
        <v>172</v>
      </c>
      <c r="E2" s="6" t="s">
        <v>196</v>
      </c>
      <c r="F2" s="6" t="s">
        <v>197</v>
      </c>
      <c r="G2" s="6" t="s">
        <v>206</v>
      </c>
      <c r="H2" s="6" t="s">
        <v>173</v>
      </c>
      <c r="I2" s="6" t="s">
        <v>1</v>
      </c>
      <c r="J2" s="6" t="s">
        <v>207</v>
      </c>
      <c r="K2" s="6" t="s">
        <v>208</v>
      </c>
      <c r="L2" s="6" t="s">
        <v>209</v>
      </c>
      <c r="M2" s="6" t="s">
        <v>210</v>
      </c>
      <c r="N2" s="6" t="s">
        <v>211</v>
      </c>
      <c r="O2" s="6" t="s">
        <v>212</v>
      </c>
      <c r="P2" s="6" t="s">
        <v>213</v>
      </c>
      <c r="Q2" s="6" t="s">
        <v>214</v>
      </c>
      <c r="R2" s="6" t="s">
        <v>198</v>
      </c>
      <c r="S2" s="6" t="s">
        <v>215</v>
      </c>
      <c r="T2" s="6" t="s">
        <v>216</v>
      </c>
      <c r="U2" s="6" t="s">
        <v>175</v>
      </c>
      <c r="V2" s="6" t="s">
        <v>175</v>
      </c>
      <c r="W2" s="6" t="s">
        <v>175</v>
      </c>
      <c r="X2" s="6" t="s">
        <v>175</v>
      </c>
      <c r="Y2" s="6" t="s">
        <v>175</v>
      </c>
      <c r="Z2" s="6" t="s">
        <v>175</v>
      </c>
      <c r="AA2" s="6" t="s">
        <v>175</v>
      </c>
      <c r="AB2" s="6" t="s">
        <v>175</v>
      </c>
      <c r="AC2" s="6" t="s">
        <v>221</v>
      </c>
      <c r="AD2" s="6" t="s">
        <v>222</v>
      </c>
      <c r="AE2" s="6" t="s">
        <v>174</v>
      </c>
      <c r="AF2" s="6" t="s">
        <v>223</v>
      </c>
      <c r="AG2" s="6" t="s">
        <v>224</v>
      </c>
      <c r="AH2" s="6" t="s">
        <v>225</v>
      </c>
      <c r="AI2" s="6" t="s">
        <v>226</v>
      </c>
      <c r="AJ2" s="6" t="s">
        <v>227</v>
      </c>
      <c r="AK2" s="6" t="s">
        <v>228</v>
      </c>
      <c r="AL2" s="6" t="s">
        <v>229</v>
      </c>
      <c r="AM2" s="6" t="s">
        <v>230</v>
      </c>
      <c r="AN2" s="6" t="s">
        <v>232</v>
      </c>
      <c r="AO2" s="6" t="s">
        <v>233</v>
      </c>
    </row>
    <row r="3" spans="1:41" x14ac:dyDescent="0.4">
      <c r="A3" s="3" t="s">
        <v>220</v>
      </c>
      <c r="B3" s="3" t="s">
        <v>199</v>
      </c>
      <c r="C3" s="3" t="s">
        <v>217</v>
      </c>
      <c r="D3" s="4" t="str">
        <f>"abilities/items/drops/"&amp;A3</f>
        <v>abilities/items/drops/item_bag_of_coin</v>
      </c>
      <c r="E3" s="4" t="s">
        <v>218</v>
      </c>
      <c r="F3" s="4" t="s">
        <v>219</v>
      </c>
      <c r="G3" s="4" t="s">
        <v>200</v>
      </c>
      <c r="I3" s="3" t="s">
        <v>234</v>
      </c>
      <c r="J3" s="3">
        <v>1001</v>
      </c>
      <c r="M3" s="3">
        <v>99999</v>
      </c>
      <c r="N3" s="3">
        <v>0</v>
      </c>
      <c r="O3" s="3">
        <v>0</v>
      </c>
      <c r="P3" s="3">
        <v>0</v>
      </c>
      <c r="Q3" s="3">
        <v>1</v>
      </c>
      <c r="R3" s="3">
        <v>1</v>
      </c>
      <c r="S3" s="3">
        <v>1</v>
      </c>
      <c r="T3" s="3">
        <v>100</v>
      </c>
      <c r="U3" s="1" t="s">
        <v>205</v>
      </c>
      <c r="X3" s="5"/>
      <c r="Y3" s="5"/>
    </row>
    <row r="4" spans="1:41" x14ac:dyDescent="0.4">
      <c r="U4" s="1">
        <v>5000</v>
      </c>
      <c r="X4" s="2"/>
      <c r="Y4" s="2"/>
    </row>
    <row r="5" spans="1:41" x14ac:dyDescent="0.4">
      <c r="A5" s="3" t="s">
        <v>235</v>
      </c>
      <c r="B5" s="3" t="s">
        <v>310</v>
      </c>
      <c r="C5" s="3" t="s">
        <v>217</v>
      </c>
      <c r="D5" s="4" t="str">
        <f t="shared" ref="D5:D46" si="0">"abilities/items/drops/"&amp;A5</f>
        <v>abilities/items/drops/item_ogre_1</v>
      </c>
      <c r="E5" s="3" t="s">
        <v>266</v>
      </c>
      <c r="H5" s="3" t="s">
        <v>235</v>
      </c>
      <c r="I5" s="3" t="s">
        <v>89</v>
      </c>
      <c r="J5" s="3">
        <v>1664</v>
      </c>
      <c r="N5" s="3">
        <v>1</v>
      </c>
      <c r="O5" s="3">
        <v>0</v>
      </c>
      <c r="T5" s="3">
        <v>200</v>
      </c>
      <c r="U5" s="1" t="s">
        <v>237</v>
      </c>
      <c r="V5" s="1" t="s">
        <v>238</v>
      </c>
      <c r="W5" s="1" t="s">
        <v>239</v>
      </c>
      <c r="AC5" s="3" t="s">
        <v>240</v>
      </c>
      <c r="AD5" s="3" t="s">
        <v>241</v>
      </c>
      <c r="AE5" s="3" t="s">
        <v>242</v>
      </c>
      <c r="AF5" s="3">
        <v>0.6</v>
      </c>
      <c r="AG5" s="3">
        <v>16</v>
      </c>
      <c r="AH5" s="3">
        <v>200</v>
      </c>
      <c r="AI5" s="3" t="s">
        <v>243</v>
      </c>
    </row>
    <row r="6" spans="1:41" x14ac:dyDescent="0.4">
      <c r="U6" s="1">
        <v>300</v>
      </c>
      <c r="V6" s="1">
        <v>6000</v>
      </c>
      <c r="W6" s="1">
        <v>2</v>
      </c>
    </row>
    <row r="7" spans="1:41" x14ac:dyDescent="0.4">
      <c r="A7" s="3" t="s">
        <v>244</v>
      </c>
      <c r="B7" s="3" t="s">
        <v>311</v>
      </c>
      <c r="C7" s="3" t="s">
        <v>217</v>
      </c>
      <c r="D7" s="4" t="str">
        <f t="shared" ref="D7:D46" si="1">"abilities/items/drops/"&amp;A7</f>
        <v>abilities/items/drops/item_ogre_2</v>
      </c>
      <c r="E7" s="3" t="s">
        <v>266</v>
      </c>
      <c r="H7" s="3" t="s">
        <v>244</v>
      </c>
      <c r="I7" s="3" t="s">
        <v>0</v>
      </c>
      <c r="J7" s="3">
        <v>1665</v>
      </c>
      <c r="N7" s="3">
        <v>1</v>
      </c>
      <c r="O7" s="3">
        <v>0</v>
      </c>
      <c r="U7" s="1" t="s">
        <v>245</v>
      </c>
      <c r="AI7" s="3" t="s">
        <v>243</v>
      </c>
    </row>
    <row r="8" spans="1:41" x14ac:dyDescent="0.4">
      <c r="U8" s="1">
        <v>4000</v>
      </c>
    </row>
    <row r="9" spans="1:41" x14ac:dyDescent="0.4">
      <c r="A9" s="3" t="s">
        <v>246</v>
      </c>
      <c r="B9" s="3" t="s">
        <v>312</v>
      </c>
      <c r="C9" s="3" t="s">
        <v>217</v>
      </c>
      <c r="D9" s="4" t="str">
        <f t="shared" ref="D9:D46" si="2">"abilities/items/drops/"&amp;A9</f>
        <v>abilities/items/drops/item_ogre_3</v>
      </c>
      <c r="E9" s="3" t="s">
        <v>266</v>
      </c>
      <c r="H9" s="3" t="s">
        <v>246</v>
      </c>
      <c r="I9" s="3" t="s">
        <v>0</v>
      </c>
      <c r="J9" s="3">
        <v>1666</v>
      </c>
      <c r="N9" s="3">
        <v>1</v>
      </c>
      <c r="O9" s="3">
        <v>0</v>
      </c>
      <c r="U9" s="1" t="s">
        <v>247</v>
      </c>
      <c r="AI9" s="3" t="s">
        <v>243</v>
      </c>
    </row>
    <row r="10" spans="1:41" x14ac:dyDescent="0.4">
      <c r="U10" s="1">
        <v>40</v>
      </c>
    </row>
    <row r="11" spans="1:41" x14ac:dyDescent="0.4">
      <c r="A11" s="3" t="s">
        <v>248</v>
      </c>
      <c r="B11" s="3" t="s">
        <v>313</v>
      </c>
      <c r="C11" s="3" t="s">
        <v>217</v>
      </c>
      <c r="D11" s="4" t="str">
        <f t="shared" ref="D11:D46" si="3">"abilities/items/drops/"&amp;A11</f>
        <v>abilities/items/drops/item_ogre_4</v>
      </c>
      <c r="E11" s="3" t="s">
        <v>266</v>
      </c>
      <c r="H11" s="3" t="s">
        <v>248</v>
      </c>
      <c r="I11" s="3" t="s">
        <v>89</v>
      </c>
      <c r="J11" s="3">
        <v>1667</v>
      </c>
      <c r="N11" s="3">
        <v>1</v>
      </c>
      <c r="O11" s="3">
        <v>0</v>
      </c>
      <c r="T11" s="3">
        <v>200</v>
      </c>
      <c r="U11" s="1" t="s">
        <v>247</v>
      </c>
      <c r="V11" s="1" t="s">
        <v>245</v>
      </c>
      <c r="W11" s="1" t="s">
        <v>237</v>
      </c>
      <c r="X11" s="1" t="s">
        <v>238</v>
      </c>
      <c r="Y11" s="1" t="s">
        <v>239</v>
      </c>
      <c r="AC11" s="3" t="s">
        <v>240</v>
      </c>
      <c r="AD11" s="3" t="s">
        <v>241</v>
      </c>
      <c r="AE11" s="3" t="s">
        <v>242</v>
      </c>
      <c r="AF11" s="3">
        <v>0.3</v>
      </c>
      <c r="AG11" s="3">
        <v>16</v>
      </c>
      <c r="AH11" s="3">
        <v>200</v>
      </c>
      <c r="AI11" s="3" t="s">
        <v>243</v>
      </c>
    </row>
    <row r="12" spans="1:41" x14ac:dyDescent="0.4">
      <c r="U12" s="1">
        <v>60</v>
      </c>
      <c r="V12" s="1">
        <v>6000</v>
      </c>
      <c r="W12" s="1">
        <v>400</v>
      </c>
      <c r="X12" s="1">
        <v>12000</v>
      </c>
      <c r="Y12" s="1">
        <v>2</v>
      </c>
    </row>
    <row r="13" spans="1:41" x14ac:dyDescent="0.4">
      <c r="A13" s="3" t="s">
        <v>377</v>
      </c>
      <c r="B13" s="3" t="s">
        <v>360</v>
      </c>
      <c r="C13" s="3" t="s">
        <v>217</v>
      </c>
      <c r="D13" s="4" t="str">
        <f t="shared" ref="D13:D46" si="4">"abilities/items/drops/"&amp;A13</f>
        <v>abilities/items/drops/item_treant_1</v>
      </c>
      <c r="E13" s="3" t="s">
        <v>266</v>
      </c>
      <c r="H13" s="3" t="s">
        <v>249</v>
      </c>
      <c r="I13" s="3" t="s">
        <v>88</v>
      </c>
      <c r="J13" s="3">
        <v>1669</v>
      </c>
      <c r="M13" s="3">
        <v>2000</v>
      </c>
      <c r="N13" s="3">
        <v>1</v>
      </c>
      <c r="O13" s="3">
        <v>0</v>
      </c>
      <c r="P13" s="3">
        <v>0</v>
      </c>
      <c r="Q13" s="3">
        <v>0</v>
      </c>
      <c r="S13" s="3">
        <v>1</v>
      </c>
      <c r="U13" s="1" t="s">
        <v>250</v>
      </c>
      <c r="V13" s="1" t="s">
        <v>251</v>
      </c>
      <c r="W13" s="1" t="s">
        <v>239</v>
      </c>
      <c r="AI13" s="3" t="s">
        <v>243</v>
      </c>
      <c r="AJ13" s="3">
        <v>1</v>
      </c>
    </row>
    <row r="14" spans="1:41" x14ac:dyDescent="0.4">
      <c r="U14" s="1">
        <v>-40</v>
      </c>
      <c r="V14" s="1">
        <v>4</v>
      </c>
      <c r="W14" s="1">
        <v>35</v>
      </c>
    </row>
    <row r="15" spans="1:41" x14ac:dyDescent="0.4">
      <c r="A15" s="3" t="s">
        <v>378</v>
      </c>
      <c r="B15" s="3" t="s">
        <v>361</v>
      </c>
      <c r="C15" s="3" t="s">
        <v>217</v>
      </c>
      <c r="D15" s="4" t="str">
        <f t="shared" ref="D15:D46" si="5">"abilities/items/drops/"&amp;A15</f>
        <v>abilities/items/drops/item_treant_2</v>
      </c>
      <c r="E15" s="3" t="s">
        <v>314</v>
      </c>
      <c r="F15" s="3" t="s">
        <v>318</v>
      </c>
      <c r="H15" s="3" t="s">
        <v>252</v>
      </c>
      <c r="I15" s="3" t="s">
        <v>89</v>
      </c>
      <c r="J15" s="3">
        <v>1670</v>
      </c>
      <c r="M15" s="3">
        <v>2000</v>
      </c>
      <c r="N15" s="3">
        <v>1</v>
      </c>
      <c r="O15" s="3">
        <v>0</v>
      </c>
      <c r="P15" s="3">
        <v>0</v>
      </c>
      <c r="Q15" s="3">
        <v>0</v>
      </c>
      <c r="S15" s="3">
        <v>1</v>
      </c>
      <c r="T15" s="3">
        <v>200</v>
      </c>
      <c r="U15" s="1" t="s">
        <v>239</v>
      </c>
      <c r="AG15" s="3">
        <v>60</v>
      </c>
      <c r="AH15" s="3">
        <v>200</v>
      </c>
      <c r="AI15" s="3" t="s">
        <v>243</v>
      </c>
      <c r="AJ15" s="3">
        <v>1</v>
      </c>
    </row>
    <row r="16" spans="1:41" x14ac:dyDescent="0.4">
      <c r="U16" s="1">
        <v>40</v>
      </c>
    </row>
    <row r="17" spans="1:38" x14ac:dyDescent="0.4">
      <c r="A17" s="3" t="s">
        <v>379</v>
      </c>
      <c r="B17" s="3" t="s">
        <v>362</v>
      </c>
      <c r="C17" s="3" t="s">
        <v>217</v>
      </c>
      <c r="D17" s="4" t="str">
        <f t="shared" ref="D17:D46" si="6">"abilities/items/drops/"&amp;A17</f>
        <v>abilities/items/drops/item_treant_3</v>
      </c>
      <c r="E17" s="3" t="s">
        <v>315</v>
      </c>
      <c r="H17" s="3" t="s">
        <v>253</v>
      </c>
      <c r="I17" s="3" t="s">
        <v>236</v>
      </c>
      <c r="J17" s="3">
        <v>1671</v>
      </c>
      <c r="M17" s="3">
        <v>10000</v>
      </c>
      <c r="N17" s="3">
        <v>1</v>
      </c>
      <c r="O17" s="3">
        <v>0</v>
      </c>
      <c r="Q17" s="3">
        <v>0</v>
      </c>
      <c r="U17" s="1" t="s">
        <v>239</v>
      </c>
      <c r="AI17" s="3" t="s">
        <v>243</v>
      </c>
    </row>
    <row r="18" spans="1:38" x14ac:dyDescent="0.4">
      <c r="U18" s="1">
        <v>40</v>
      </c>
    </row>
    <row r="19" spans="1:38" x14ac:dyDescent="0.4">
      <c r="A19" s="3" t="s">
        <v>380</v>
      </c>
      <c r="B19" s="3" t="s">
        <v>363</v>
      </c>
      <c r="C19" s="3" t="s">
        <v>217</v>
      </c>
      <c r="D19" s="4" t="str">
        <f t="shared" ref="D19:D46" si="7">"abilities/items/drops/"&amp;A19</f>
        <v>abilities/items/drops/item_treant_4</v>
      </c>
      <c r="E19" s="3" t="s">
        <v>266</v>
      </c>
      <c r="H19" s="3" t="s">
        <v>254</v>
      </c>
      <c r="I19" s="3" t="s">
        <v>255</v>
      </c>
      <c r="J19" s="3">
        <v>1700</v>
      </c>
      <c r="M19" s="3">
        <v>10000</v>
      </c>
      <c r="N19" s="3">
        <v>1</v>
      </c>
      <c r="O19" s="3">
        <v>0</v>
      </c>
      <c r="Q19" s="3">
        <v>0</v>
      </c>
      <c r="U19" s="1" t="s">
        <v>256</v>
      </c>
      <c r="V19" s="1" t="s">
        <v>257</v>
      </c>
      <c r="W19" s="1" t="s">
        <v>250</v>
      </c>
      <c r="X19" s="1" t="s">
        <v>251</v>
      </c>
      <c r="Y19" s="1" t="s">
        <v>239</v>
      </c>
      <c r="AG19" s="3">
        <v>30</v>
      </c>
      <c r="AI19" s="3" t="s">
        <v>243</v>
      </c>
    </row>
    <row r="20" spans="1:38" x14ac:dyDescent="0.4">
      <c r="U20" s="1">
        <v>20</v>
      </c>
      <c r="V20" s="1">
        <v>2</v>
      </c>
      <c r="W20" s="1">
        <v>-40</v>
      </c>
      <c r="X20" s="1">
        <v>4</v>
      </c>
      <c r="Y20" s="1">
        <v>35</v>
      </c>
    </row>
    <row r="21" spans="1:38" x14ac:dyDescent="0.4">
      <c r="A21" s="3" t="s">
        <v>258</v>
      </c>
      <c r="B21" s="3" t="s">
        <v>364</v>
      </c>
      <c r="C21" s="3" t="s">
        <v>217</v>
      </c>
      <c r="D21" s="4" t="str">
        <f t="shared" ref="D21:D46" si="8">"abilities/items/drops/"&amp;A21</f>
        <v>abilities/items/drops/item_refresher1</v>
      </c>
      <c r="E21" s="3" t="s">
        <v>259</v>
      </c>
      <c r="F21" s="3" t="s">
        <v>260</v>
      </c>
      <c r="H21" s="3" t="s">
        <v>261</v>
      </c>
      <c r="I21" s="3" t="s">
        <v>186</v>
      </c>
      <c r="J21" s="3">
        <v>1033</v>
      </c>
      <c r="M21" s="3">
        <v>20000</v>
      </c>
      <c r="N21" s="3">
        <v>1</v>
      </c>
      <c r="O21" s="3">
        <v>0</v>
      </c>
      <c r="Q21" s="3">
        <v>0</v>
      </c>
      <c r="U21" s="1" t="s">
        <v>262</v>
      </c>
      <c r="V21" s="1" t="s">
        <v>263</v>
      </c>
      <c r="AG21" s="3">
        <v>195</v>
      </c>
      <c r="AH21" s="3">
        <v>375</v>
      </c>
      <c r="AI21" s="3" t="s">
        <v>243</v>
      </c>
      <c r="AL21" s="3" t="s">
        <v>264</v>
      </c>
    </row>
    <row r="22" spans="1:38" x14ac:dyDescent="0.4">
      <c r="U22" s="1">
        <v>2</v>
      </c>
      <c r="V22" s="1">
        <v>200</v>
      </c>
    </row>
    <row r="23" spans="1:38" x14ac:dyDescent="0.4">
      <c r="A23" s="3" t="s">
        <v>265</v>
      </c>
      <c r="B23" s="3" t="s">
        <v>365</v>
      </c>
      <c r="C23" s="3" t="s">
        <v>217</v>
      </c>
      <c r="D23" s="4" t="str">
        <f t="shared" ref="D23:D46" si="9">"abilities/items/drops/"&amp;A23</f>
        <v>abilities/items/drops/item_soul_eye</v>
      </c>
      <c r="E23" s="3" t="s">
        <v>266</v>
      </c>
      <c r="F23" s="3" t="s">
        <v>219</v>
      </c>
      <c r="H23" s="3" t="s">
        <v>265</v>
      </c>
      <c r="I23" s="3" t="s">
        <v>267</v>
      </c>
      <c r="J23" s="3">
        <v>1702</v>
      </c>
      <c r="M23" s="3">
        <v>20000</v>
      </c>
      <c r="N23" s="3">
        <v>1</v>
      </c>
      <c r="O23" s="3">
        <v>0</v>
      </c>
      <c r="Q23" s="3">
        <v>0</v>
      </c>
      <c r="U23" s="1" t="s">
        <v>268</v>
      </c>
      <c r="V23" s="1" t="s">
        <v>269</v>
      </c>
      <c r="W23" s="1" t="s">
        <v>270</v>
      </c>
      <c r="X23" s="1" t="s">
        <v>271</v>
      </c>
      <c r="Y23" s="1" t="s">
        <v>239</v>
      </c>
      <c r="Z23" s="1" t="s">
        <v>272</v>
      </c>
      <c r="AC23" s="3" t="s">
        <v>240</v>
      </c>
      <c r="AD23" s="3" t="s">
        <v>241</v>
      </c>
      <c r="AG23" s="3">
        <v>19</v>
      </c>
      <c r="AI23" s="3" t="s">
        <v>243</v>
      </c>
      <c r="AL23" s="3" t="s">
        <v>264</v>
      </c>
    </row>
    <row r="24" spans="1:38" x14ac:dyDescent="0.4">
      <c r="U24" s="1">
        <v>15</v>
      </c>
      <c r="V24" s="1">
        <v>20</v>
      </c>
      <c r="W24" s="1">
        <v>-25</v>
      </c>
      <c r="X24" s="1">
        <v>15</v>
      </c>
      <c r="Y24" s="1">
        <v>12</v>
      </c>
      <c r="Z24" s="1">
        <v>600</v>
      </c>
    </row>
    <row r="25" spans="1:38" x14ac:dyDescent="0.4">
      <c r="A25" s="3" t="s">
        <v>273</v>
      </c>
      <c r="B25" s="3" t="s">
        <v>366</v>
      </c>
      <c r="C25" s="3" t="s">
        <v>217</v>
      </c>
      <c r="D25" s="4" t="str">
        <f t="shared" ref="D25:D46" si="10">"abilities/items/drops/"&amp;A25</f>
        <v>abilities/items/drops/item_soul_cloak</v>
      </c>
      <c r="E25" s="3" t="s">
        <v>266</v>
      </c>
      <c r="H25" s="3" t="s">
        <v>273</v>
      </c>
      <c r="I25" s="3" t="s">
        <v>0</v>
      </c>
      <c r="J25" s="3">
        <v>1703</v>
      </c>
      <c r="N25" s="3">
        <v>1</v>
      </c>
      <c r="O25" s="3">
        <v>0</v>
      </c>
      <c r="U25" s="1" t="s">
        <v>274</v>
      </c>
      <c r="V25" s="1" t="s">
        <v>275</v>
      </c>
      <c r="W25" s="1" t="s">
        <v>276</v>
      </c>
      <c r="X25" s="1" t="s">
        <v>277</v>
      </c>
      <c r="AC25" s="3" t="s">
        <v>240</v>
      </c>
      <c r="AI25" s="3" t="s">
        <v>243</v>
      </c>
    </row>
    <row r="26" spans="1:38" x14ac:dyDescent="0.4">
      <c r="U26" s="1">
        <v>30</v>
      </c>
      <c r="V26" s="1">
        <v>3</v>
      </c>
      <c r="W26" s="1">
        <v>5</v>
      </c>
      <c r="X26" s="1">
        <v>30</v>
      </c>
    </row>
    <row r="27" spans="1:38" x14ac:dyDescent="0.4">
      <c r="A27" s="3" t="s">
        <v>278</v>
      </c>
      <c r="B27" s="3" t="s">
        <v>367</v>
      </c>
      <c r="C27" s="3" t="s">
        <v>217</v>
      </c>
      <c r="D27" s="4" t="str">
        <f t="shared" ref="D27:D46" si="11">"abilities/items/drops/"&amp;A27</f>
        <v>abilities/items/drops/item_death_cloak</v>
      </c>
      <c r="E27" s="3" t="s">
        <v>266</v>
      </c>
      <c r="H27" s="3" t="s">
        <v>278</v>
      </c>
      <c r="I27" s="3" t="s">
        <v>255</v>
      </c>
      <c r="J27" s="3">
        <v>1704</v>
      </c>
      <c r="N27" s="3">
        <v>1</v>
      </c>
      <c r="O27" s="3">
        <v>0</v>
      </c>
      <c r="U27" s="1" t="s">
        <v>268</v>
      </c>
      <c r="V27" s="1" t="s">
        <v>269</v>
      </c>
      <c r="W27" s="1" t="s">
        <v>274</v>
      </c>
      <c r="X27" s="1" t="s">
        <v>275</v>
      </c>
      <c r="Y27" s="1" t="s">
        <v>276</v>
      </c>
      <c r="Z27" s="1" t="s">
        <v>277</v>
      </c>
      <c r="AA27" s="1" t="s">
        <v>279</v>
      </c>
      <c r="AB27" s="1" t="s">
        <v>239</v>
      </c>
      <c r="AC27" s="3" t="s">
        <v>240</v>
      </c>
      <c r="AG27" s="3">
        <v>195</v>
      </c>
      <c r="AH27" s="3">
        <v>375</v>
      </c>
      <c r="AI27" s="3" t="s">
        <v>243</v>
      </c>
    </row>
    <row r="28" spans="1:38" x14ac:dyDescent="0.4">
      <c r="U28" s="1">
        <v>20</v>
      </c>
      <c r="V28" s="1">
        <v>25</v>
      </c>
      <c r="W28" s="1">
        <v>30</v>
      </c>
      <c r="X28" s="1">
        <v>3</v>
      </c>
      <c r="Y28" s="1">
        <v>5</v>
      </c>
      <c r="Z28" s="1">
        <v>30</v>
      </c>
      <c r="AA28" s="1">
        <v>44</v>
      </c>
      <c r="AB28" s="1">
        <v>4</v>
      </c>
    </row>
    <row r="29" spans="1:38" x14ac:dyDescent="0.4">
      <c r="A29" s="3" t="s">
        <v>358</v>
      </c>
      <c r="B29" s="3" t="s">
        <v>368</v>
      </c>
      <c r="C29" s="3" t="s">
        <v>217</v>
      </c>
      <c r="D29" s="4" t="str">
        <f t="shared" ref="D29:D46" si="12">"abilities/items/drops/"&amp;A29</f>
        <v>abilities/items/drops/item_fire_glove</v>
      </c>
      <c r="E29" s="3" t="s">
        <v>266</v>
      </c>
      <c r="H29" s="3" t="s">
        <v>280</v>
      </c>
      <c r="I29" s="3" t="s">
        <v>0</v>
      </c>
      <c r="J29" s="3">
        <v>1705</v>
      </c>
      <c r="N29" s="3">
        <v>1</v>
      </c>
      <c r="O29" s="3">
        <v>0</v>
      </c>
      <c r="U29" s="1" t="s">
        <v>239</v>
      </c>
      <c r="AC29" s="3" t="s">
        <v>240</v>
      </c>
      <c r="AI29" s="3" t="s">
        <v>243</v>
      </c>
    </row>
    <row r="30" spans="1:38" x14ac:dyDescent="0.4">
      <c r="U30" s="1">
        <v>40</v>
      </c>
    </row>
    <row r="31" spans="1:38" x14ac:dyDescent="0.4">
      <c r="A31" s="3" t="s">
        <v>359</v>
      </c>
      <c r="B31" s="3" t="s">
        <v>369</v>
      </c>
      <c r="C31" s="3" t="s">
        <v>217</v>
      </c>
      <c r="D31" s="4" t="str">
        <f t="shared" ref="D31:D46" si="13">"abilities/items/drops/"&amp;A31</f>
        <v>abilities/items/drops/item_fire_head</v>
      </c>
      <c r="E31" s="3" t="s">
        <v>266</v>
      </c>
      <c r="H31" s="3" t="s">
        <v>281</v>
      </c>
      <c r="I31" s="3" t="s">
        <v>0</v>
      </c>
      <c r="J31" s="3">
        <v>1500</v>
      </c>
      <c r="N31" s="3">
        <v>1</v>
      </c>
      <c r="O31" s="3">
        <v>0</v>
      </c>
      <c r="U31" s="1" t="s">
        <v>239</v>
      </c>
      <c r="AC31" s="3" t="s">
        <v>240</v>
      </c>
      <c r="AI31" s="3" t="s">
        <v>243</v>
      </c>
    </row>
    <row r="32" spans="1:38" x14ac:dyDescent="0.4">
      <c r="U32" s="1">
        <v>41</v>
      </c>
    </row>
    <row r="33" spans="1:40" x14ac:dyDescent="0.4">
      <c r="A33" s="3" t="s">
        <v>282</v>
      </c>
      <c r="B33" s="3" t="s">
        <v>370</v>
      </c>
      <c r="C33" s="3" t="s">
        <v>217</v>
      </c>
      <c r="D33" s="4" t="str">
        <f t="shared" ref="D33:D46" si="14">"abilities/items/drops/"&amp;A33</f>
        <v>abilities/items/drops/item_demon_heart</v>
      </c>
      <c r="E33" s="3" t="s">
        <v>266</v>
      </c>
      <c r="H33" s="3" t="s">
        <v>283</v>
      </c>
      <c r="I33" s="3" t="s">
        <v>0</v>
      </c>
      <c r="J33" s="3">
        <v>1501</v>
      </c>
      <c r="N33" s="3">
        <v>1</v>
      </c>
      <c r="O33" s="3">
        <v>0</v>
      </c>
      <c r="U33" s="1" t="s">
        <v>245</v>
      </c>
      <c r="AC33" s="3" t="s">
        <v>240</v>
      </c>
      <c r="AI33" s="3" t="s">
        <v>243</v>
      </c>
    </row>
    <row r="34" spans="1:40" x14ac:dyDescent="0.4">
      <c r="U34" s="1">
        <v>3000</v>
      </c>
    </row>
    <row r="35" spans="1:40" x14ac:dyDescent="0.4">
      <c r="A35" s="3" t="s">
        <v>284</v>
      </c>
      <c r="B35" s="3" t="s">
        <v>371</v>
      </c>
      <c r="C35" s="3" t="s">
        <v>217</v>
      </c>
      <c r="D35" s="4" t="str">
        <f t="shared" ref="D35:D46" si="15">"abilities/items/drops/"&amp;A35</f>
        <v>abilities/items/drops/item_blood_fruit</v>
      </c>
      <c r="E35" s="3" t="s">
        <v>266</v>
      </c>
      <c r="H35" s="3" t="s">
        <v>285</v>
      </c>
      <c r="I35" s="3" t="s">
        <v>88</v>
      </c>
      <c r="J35" s="3">
        <v>1181</v>
      </c>
      <c r="M35" s="3">
        <v>3000</v>
      </c>
      <c r="N35" s="3">
        <v>1</v>
      </c>
      <c r="O35" s="3">
        <v>0</v>
      </c>
      <c r="P35" s="3">
        <v>0</v>
      </c>
      <c r="Q35" s="3">
        <v>0</v>
      </c>
      <c r="R35" s="3">
        <v>1</v>
      </c>
      <c r="S35" s="3">
        <v>1</v>
      </c>
      <c r="T35" s="3">
        <v>100</v>
      </c>
      <c r="U35" s="1" t="s">
        <v>239</v>
      </c>
      <c r="AI35" s="3" t="s">
        <v>243</v>
      </c>
      <c r="AL35" s="3" t="s">
        <v>286</v>
      </c>
      <c r="AN35" s="3" t="s">
        <v>288</v>
      </c>
    </row>
    <row r="36" spans="1:40" x14ac:dyDescent="0.4">
      <c r="U36" s="1">
        <v>40</v>
      </c>
    </row>
    <row r="37" spans="1:40" x14ac:dyDescent="0.4">
      <c r="A37" s="3" t="s">
        <v>289</v>
      </c>
      <c r="B37" s="3" t="s">
        <v>372</v>
      </c>
      <c r="C37" s="3" t="s">
        <v>217</v>
      </c>
      <c r="D37" s="4" t="str">
        <f t="shared" ref="D37:D46" si="16">"abilities/items/drops/"&amp;A37</f>
        <v>abilities/items/drops/item_exp_fruit</v>
      </c>
      <c r="E37" s="3" t="s">
        <v>316</v>
      </c>
      <c r="H37" s="3" t="s">
        <v>290</v>
      </c>
      <c r="I37" s="3" t="s">
        <v>88</v>
      </c>
      <c r="J37" s="3">
        <v>1675</v>
      </c>
      <c r="M37" s="3">
        <v>1000</v>
      </c>
      <c r="N37" s="3">
        <v>1</v>
      </c>
      <c r="O37" s="3">
        <v>0</v>
      </c>
      <c r="P37" s="3">
        <v>0</v>
      </c>
      <c r="Q37" s="3">
        <v>0</v>
      </c>
      <c r="R37" s="3">
        <v>1</v>
      </c>
      <c r="S37" s="3">
        <v>1</v>
      </c>
      <c r="T37" s="3">
        <v>100</v>
      </c>
      <c r="U37" s="1" t="s">
        <v>239</v>
      </c>
      <c r="AI37" s="3" t="s">
        <v>243</v>
      </c>
      <c r="AL37" s="3" t="s">
        <v>286</v>
      </c>
      <c r="AN37" s="3" t="s">
        <v>288</v>
      </c>
    </row>
    <row r="38" spans="1:40" x14ac:dyDescent="0.4">
      <c r="U38" s="1">
        <v>41</v>
      </c>
    </row>
    <row r="39" spans="1:40" x14ac:dyDescent="0.4">
      <c r="A39" s="3" t="s">
        <v>291</v>
      </c>
      <c r="B39" s="3" t="s">
        <v>373</v>
      </c>
      <c r="C39" s="3" t="s">
        <v>217</v>
      </c>
      <c r="D39" s="4" t="str">
        <f t="shared" ref="D39:D46" si="17">"abilities/items/drops/"&amp;A39</f>
        <v>abilities/items/drops/item_gold_fruit</v>
      </c>
      <c r="E39" s="3" t="s">
        <v>317</v>
      </c>
      <c r="H39" s="3" t="s">
        <v>292</v>
      </c>
      <c r="I39" s="3" t="s">
        <v>88</v>
      </c>
      <c r="J39" s="3">
        <v>1676</v>
      </c>
      <c r="M39" s="3">
        <v>2000</v>
      </c>
      <c r="N39" s="3">
        <v>1</v>
      </c>
      <c r="O39" s="3">
        <v>0</v>
      </c>
      <c r="P39" s="3">
        <v>0</v>
      </c>
      <c r="Q39" s="3">
        <v>0</v>
      </c>
      <c r="R39" s="3">
        <v>1</v>
      </c>
      <c r="S39" s="3">
        <v>1</v>
      </c>
      <c r="T39" s="3">
        <v>100</v>
      </c>
      <c r="U39" s="1" t="s">
        <v>239</v>
      </c>
      <c r="AI39" s="3" t="s">
        <v>243</v>
      </c>
      <c r="AL39" s="3" t="s">
        <v>286</v>
      </c>
      <c r="AN39" s="3" t="s">
        <v>288</v>
      </c>
    </row>
    <row r="40" spans="1:40" x14ac:dyDescent="0.4">
      <c r="U40" s="1">
        <v>42</v>
      </c>
    </row>
    <row r="41" spans="1:40" x14ac:dyDescent="0.4">
      <c r="A41" s="3" t="s">
        <v>293</v>
      </c>
      <c r="B41" s="3" t="s">
        <v>374</v>
      </c>
      <c r="C41" s="3" t="s">
        <v>217</v>
      </c>
      <c r="D41" s="4" t="str">
        <f t="shared" ref="D41:D46" si="18">"abilities/items/drops/"&amp;A41</f>
        <v>abilities/items/drops/item_water_gun</v>
      </c>
      <c r="E41" s="3" t="s">
        <v>266</v>
      </c>
      <c r="H41" s="3" t="s">
        <v>294</v>
      </c>
      <c r="I41" s="3" t="s">
        <v>295</v>
      </c>
      <c r="J41" s="3">
        <v>1698</v>
      </c>
      <c r="M41" s="3">
        <v>5000</v>
      </c>
      <c r="N41" s="3">
        <v>1</v>
      </c>
      <c r="O41" s="3">
        <v>0</v>
      </c>
      <c r="T41" s="3">
        <v>900</v>
      </c>
      <c r="U41" s="1" t="s">
        <v>239</v>
      </c>
      <c r="AC41" s="3" t="s">
        <v>240</v>
      </c>
      <c r="AD41" s="3" t="s">
        <v>296</v>
      </c>
      <c r="AG41" s="3">
        <v>2</v>
      </c>
      <c r="AI41" s="3" t="s">
        <v>243</v>
      </c>
    </row>
    <row r="42" spans="1:40" x14ac:dyDescent="0.4">
      <c r="U42" s="1">
        <v>43</v>
      </c>
    </row>
    <row r="43" spans="1:40" x14ac:dyDescent="0.4">
      <c r="A43" s="3" t="s">
        <v>297</v>
      </c>
      <c r="B43" s="3" t="s">
        <v>375</v>
      </c>
      <c r="C43" s="3" t="s">
        <v>217</v>
      </c>
      <c r="D43" s="4" t="str">
        <f t="shared" ref="D43:D46" si="19">"abilities/items/drops/"&amp;A43</f>
        <v>abilities/items/drops/item_poison_water_gun</v>
      </c>
      <c r="E43" s="3" t="s">
        <v>266</v>
      </c>
      <c r="H43" s="3" t="s">
        <v>294</v>
      </c>
      <c r="I43" s="3" t="s">
        <v>295</v>
      </c>
      <c r="J43" s="3">
        <v>1764</v>
      </c>
      <c r="M43" s="3">
        <v>20000</v>
      </c>
      <c r="N43" s="3">
        <v>1</v>
      </c>
      <c r="O43" s="3">
        <v>0</v>
      </c>
      <c r="T43" s="3">
        <v>900</v>
      </c>
      <c r="U43" s="1" t="s">
        <v>239</v>
      </c>
      <c r="AC43" s="3" t="s">
        <v>240</v>
      </c>
      <c r="AD43" s="3" t="s">
        <v>296</v>
      </c>
      <c r="AG43" s="3">
        <v>2</v>
      </c>
      <c r="AI43" s="3" t="s">
        <v>243</v>
      </c>
    </row>
    <row r="44" spans="1:40" x14ac:dyDescent="0.4">
      <c r="U44" s="1">
        <v>44</v>
      </c>
    </row>
    <row r="45" spans="1:40" x14ac:dyDescent="0.4">
      <c r="A45" s="3" t="s">
        <v>298</v>
      </c>
      <c r="B45" s="3" t="s">
        <v>376</v>
      </c>
      <c r="C45" s="3" t="s">
        <v>217</v>
      </c>
      <c r="D45" s="4" t="str">
        <f t="shared" ref="D45:D46" si="20">"abilities/items/drops/"&amp;A45</f>
        <v>abilities/items/drops/item_battlefury_ring</v>
      </c>
      <c r="E45" s="3" t="s">
        <v>266</v>
      </c>
      <c r="F45" s="3" t="s">
        <v>299</v>
      </c>
      <c r="H45" s="3" t="s">
        <v>298</v>
      </c>
      <c r="I45" s="3" t="s">
        <v>88</v>
      </c>
      <c r="J45" s="3">
        <v>1104</v>
      </c>
      <c r="M45" s="3">
        <v>322</v>
      </c>
      <c r="N45" s="3">
        <v>0</v>
      </c>
      <c r="O45" s="3">
        <v>0</v>
      </c>
      <c r="P45" s="3">
        <v>1</v>
      </c>
      <c r="Q45" s="3">
        <v>0</v>
      </c>
      <c r="U45" s="1" t="s">
        <v>300</v>
      </c>
      <c r="V45" s="1" t="s">
        <v>301</v>
      </c>
      <c r="W45" s="1" t="s">
        <v>302</v>
      </c>
      <c r="X45" s="1" t="s">
        <v>303</v>
      </c>
      <c r="Y45" s="1" t="s">
        <v>304</v>
      </c>
      <c r="Z45" s="1" t="s">
        <v>305</v>
      </c>
      <c r="AA45" s="1" t="s">
        <v>306</v>
      </c>
      <c r="AB45" s="1" t="s">
        <v>307</v>
      </c>
      <c r="AC45" s="3" t="s">
        <v>240</v>
      </c>
      <c r="AD45" s="3" t="s">
        <v>241</v>
      </c>
      <c r="AE45" s="3" t="s">
        <v>308</v>
      </c>
      <c r="AG45" s="3">
        <v>60</v>
      </c>
      <c r="AH45" s="3">
        <v>100</v>
      </c>
      <c r="AK45" s="3">
        <v>0</v>
      </c>
      <c r="AL45" s="3" t="s">
        <v>309</v>
      </c>
      <c r="AM45" s="3">
        <v>0</v>
      </c>
      <c r="AN45" s="3" t="s">
        <v>288</v>
      </c>
    </row>
    <row r="46" spans="1:40" x14ac:dyDescent="0.4">
      <c r="U46" s="1">
        <v>600</v>
      </c>
      <c r="V46" s="1">
        <v>25</v>
      </c>
      <c r="W46" s="1">
        <v>600</v>
      </c>
      <c r="X46" s="1">
        <v>1</v>
      </c>
      <c r="Y46" s="1">
        <v>3</v>
      </c>
      <c r="Z46" s="1">
        <v>600</v>
      </c>
      <c r="AA46" s="1">
        <v>100</v>
      </c>
      <c r="AB46" s="1">
        <v>50</v>
      </c>
    </row>
  </sheetData>
  <phoneticPr fontId="1" type="noConversion"/>
  <conditionalFormatting sqref="F5:XFD1048477 A5:E1048576">
    <cfRule type="expression" dxfId="12" priority="198">
      <formula>MOD(ROW(A8),4)&lt;2</formula>
    </cfRule>
  </conditionalFormatting>
  <conditionalFormatting sqref="A3:XFD3 F5:XFD1048479 A5:E1048576">
    <cfRule type="expression" dxfId="11" priority="194">
      <formula>MOD(ROW(A4),2)=0</formula>
    </cfRule>
    <cfRule type="expression" dxfId="10" priority="195">
      <formula>MOD(ROW(A4),4)&lt;2</formula>
    </cfRule>
  </conditionalFormatting>
  <conditionalFormatting sqref="A3:T1048576">
    <cfRule type="expression" dxfId="9" priority="191">
      <formula>AND(ISBLANK(A3)=FALSE,MOD(ROW(),2)=0)</formula>
    </cfRule>
  </conditionalFormatting>
  <conditionalFormatting sqref="L3:M4 N3:P3 K3 J3:J4 A4:AA4 A3:I3 C5:D46 Q3:XFD4">
    <cfRule type="expression" dxfId="8" priority="199">
      <formula>MOD(ROW(#REF!),4)&lt;2</formula>
    </cfRule>
  </conditionalFormatting>
  <conditionalFormatting sqref="F1048478:XFD1048576">
    <cfRule type="expression" dxfId="7" priority="205">
      <formula>MOD(ROW(F1),4)&lt;2</formula>
    </cfRule>
  </conditionalFormatting>
  <conditionalFormatting sqref="C6:D6 C8:D8 C10:D10 C12:D12 C14:D14 C16:D16 C18:D18 C20:D20 C22:D22 C24:D24 C26:D26 C28:D28 C30:D30 C32:D32 C34:D34 C36:D36 C38:D38 C40:D40 C42:D42 C44:D44 C46:D46 A4:XFD4">
    <cfRule type="expression" dxfId="6" priority="216">
      <formula>MOD(ROW(#REF!),2)=0</formula>
    </cfRule>
    <cfRule type="expression" dxfId="5" priority="217">
      <formula>MOD(ROW(#REF!),4)&lt;2</formula>
    </cfRule>
  </conditionalFormatting>
  <conditionalFormatting sqref="F1048480:XFD1048576">
    <cfRule type="expression" dxfId="4" priority="230">
      <formula>MOD(ROW(F1),2)=0</formula>
    </cfRule>
    <cfRule type="expression" dxfId="3" priority="231">
      <formula>MOD(ROW(F1),4)&lt;2</formula>
    </cfRule>
  </conditionalFormatting>
  <dataValidations count="2">
    <dataValidation type="list" allowBlank="1" showInputMessage="1" showErrorMessage="1" sqref="C4 C46:C1048576 C6 C8 C10 C12 C14 C16 C18 C20 C22 C24 C26 C28 C30 C32 C34 C36 C38 C40 C42 C44" xr:uid="{6E12D6B3-CB1D-4754-8CC7-CF1BA94D1B96}">
      <formula1>"ability_lua,ability_item"</formula1>
    </dataValidation>
    <dataValidation type="list" allowBlank="1" showInputMessage="1" showErrorMessage="1" sqref="C3 C5 C7 C9 C11 C13 C15 C17 C19 C21 C23 C25 C27 C29 C31 C33 C35 C37 C39 C41 C43 C45" xr:uid="{0ACC8C52-CDBD-406F-A3AB-DEFD2261523B}">
      <formula1>"ability_lua,item_lua"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3C33CB2-6EE2-45C3-956C-DDDBBBC49CB1}">
          <x14:formula1>
            <xm:f>Sheet2!$F$20:$F$26</xm:f>
          </x14:formula1>
          <xm:sqref>AL3:AL1048576</xm:sqref>
        </x14:dataValidation>
        <x14:dataValidation type="list" allowBlank="1" showInputMessage="1" showErrorMessage="1" xr:uid="{013B5F90-315D-4F90-83BD-EE9F635AF21D}">
          <x14:formula1>
            <xm:f>Sheet2!$F$28:$F$29</xm:f>
          </x14:formula1>
          <xm:sqref>AN1:AN1048576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F15" sqref="F15"/>
    </sheetView>
  </sheetViews>
  <sheetFormatPr defaultColWidth="9" defaultRowHeight="13.9" x14ac:dyDescent="0.4"/>
  <cols>
    <col min="1" max="1" width="9" style="7"/>
    <col min="2" max="2" width="11.3984375" style="7" bestFit="1" customWidth="1"/>
    <col min="3" max="3" width="15.3984375" style="7" customWidth="1"/>
    <col min="4" max="4" width="15.1328125" style="8" bestFit="1" customWidth="1"/>
    <col min="5" max="5" width="51" style="8" bestFit="1" customWidth="1"/>
    <col min="6" max="6" width="34.9296875" style="8" customWidth="1"/>
    <col min="7" max="8" width="28.6640625" style="7" customWidth="1"/>
    <col min="9" max="9" width="26.3984375" style="8" customWidth="1"/>
    <col min="10" max="10" width="16" style="8" customWidth="1"/>
    <col min="11" max="11" width="9" style="8"/>
    <col min="12" max="12" width="20.265625" style="7" customWidth="1"/>
    <col min="13" max="13" width="15.265625" style="7" customWidth="1"/>
    <col min="14" max="14" width="23" style="8" customWidth="1"/>
    <col min="15" max="16384" width="9" style="8"/>
  </cols>
  <sheetData>
    <row r="1" spans="1:10" s="6" customFormat="1" x14ac:dyDescent="0.4">
      <c r="A1" s="6" t="s">
        <v>7</v>
      </c>
      <c r="B1" s="6" t="s">
        <v>2</v>
      </c>
      <c r="C1" s="6" t="s">
        <v>151</v>
      </c>
      <c r="D1" s="6" t="s">
        <v>4</v>
      </c>
      <c r="E1" s="6" t="s">
        <v>1</v>
      </c>
      <c r="F1" s="6" t="s">
        <v>158</v>
      </c>
      <c r="G1" s="6" t="s">
        <v>326</v>
      </c>
      <c r="I1" s="6" t="s">
        <v>147</v>
      </c>
      <c r="J1" s="6" t="s">
        <v>148</v>
      </c>
    </row>
    <row r="2" spans="1:10" x14ac:dyDescent="0.4">
      <c r="A2" s="7" t="s">
        <v>6</v>
      </c>
      <c r="B2" s="7" t="s">
        <v>3</v>
      </c>
      <c r="C2" s="7" t="s">
        <v>152</v>
      </c>
      <c r="D2" s="8" t="s">
        <v>104</v>
      </c>
      <c r="E2" s="8" t="s">
        <v>86</v>
      </c>
      <c r="F2" s="8" t="s">
        <v>160</v>
      </c>
      <c r="G2" s="7" t="s">
        <v>327</v>
      </c>
      <c r="I2" s="8" t="str">
        <f>"abilities/boss/"&amp;Sheet1!A3</f>
        <v>abilities/boss/item_bag_of_coin</v>
      </c>
      <c r="J2" s="8" t="s">
        <v>149</v>
      </c>
    </row>
    <row r="3" spans="1:10" x14ac:dyDescent="0.4">
      <c r="A3" s="7" t="s">
        <v>150</v>
      </c>
      <c r="B3" s="7" t="s">
        <v>146</v>
      </c>
      <c r="C3" s="7" t="s">
        <v>153</v>
      </c>
      <c r="D3" s="8" t="s">
        <v>108</v>
      </c>
      <c r="E3" s="8" t="s">
        <v>87</v>
      </c>
      <c r="F3" s="8" t="s">
        <v>161</v>
      </c>
      <c r="G3" s="7" t="s">
        <v>328</v>
      </c>
      <c r="I3" s="8" t="s">
        <v>156</v>
      </c>
    </row>
    <row r="4" spans="1:10" x14ac:dyDescent="0.4">
      <c r="A4" s="7" t="s">
        <v>8</v>
      </c>
      <c r="B4" s="7" t="s">
        <v>9</v>
      </c>
      <c r="C4" s="7" t="s">
        <v>154</v>
      </c>
      <c r="D4" s="8" t="s">
        <v>109</v>
      </c>
      <c r="E4" s="8" t="s">
        <v>0</v>
      </c>
      <c r="F4" s="8" t="s">
        <v>162</v>
      </c>
      <c r="G4" s="7" t="s">
        <v>329</v>
      </c>
    </row>
    <row r="5" spans="1:10" x14ac:dyDescent="0.4">
      <c r="A5" s="7" t="s">
        <v>43</v>
      </c>
      <c r="B5" s="7" t="s">
        <v>10</v>
      </c>
      <c r="C5" s="7" t="s">
        <v>155</v>
      </c>
      <c r="D5" s="8" t="s">
        <v>110</v>
      </c>
      <c r="E5" s="8" t="s">
        <v>88</v>
      </c>
      <c r="F5" s="8" t="s">
        <v>159</v>
      </c>
      <c r="G5" s="7" t="s">
        <v>330</v>
      </c>
    </row>
    <row r="6" spans="1:10" x14ac:dyDescent="0.4">
      <c r="A6" s="7" t="s">
        <v>44</v>
      </c>
      <c r="B6" s="7" t="s">
        <v>11</v>
      </c>
      <c r="D6" s="8" t="s">
        <v>111</v>
      </c>
      <c r="E6" s="8" t="s">
        <v>5</v>
      </c>
      <c r="F6" s="6" t="s">
        <v>174</v>
      </c>
    </row>
    <row r="7" spans="1:10" x14ac:dyDescent="0.4">
      <c r="A7" s="7" t="s">
        <v>45</v>
      </c>
      <c r="B7" s="7" t="s">
        <v>12</v>
      </c>
      <c r="D7" s="8" t="s">
        <v>112</v>
      </c>
      <c r="E7" s="8" t="s">
        <v>89</v>
      </c>
      <c r="F7" s="7" t="s">
        <v>178</v>
      </c>
    </row>
    <row r="8" spans="1:10" x14ac:dyDescent="0.4">
      <c r="A8" s="7" t="s">
        <v>46</v>
      </c>
      <c r="B8" s="7" t="s">
        <v>13</v>
      </c>
      <c r="D8" s="8" t="s">
        <v>113</v>
      </c>
      <c r="E8" s="8" t="s">
        <v>90</v>
      </c>
      <c r="F8" s="7" t="s">
        <v>179</v>
      </c>
    </row>
    <row r="9" spans="1:10" x14ac:dyDescent="0.4">
      <c r="A9" s="7" t="s">
        <v>47</v>
      </c>
      <c r="B9" s="7" t="s">
        <v>14</v>
      </c>
      <c r="D9" s="8" t="s">
        <v>114</v>
      </c>
      <c r="E9" s="8" t="s">
        <v>91</v>
      </c>
      <c r="F9" s="7" t="s">
        <v>176</v>
      </c>
      <c r="G9" s="7" t="s">
        <v>331</v>
      </c>
    </row>
    <row r="10" spans="1:10" x14ac:dyDescent="0.4">
      <c r="A10" s="7" t="s">
        <v>48</v>
      </c>
      <c r="B10" s="7" t="s">
        <v>15</v>
      </c>
      <c r="D10" s="8" t="s">
        <v>115</v>
      </c>
      <c r="E10" s="8" t="s">
        <v>157</v>
      </c>
      <c r="F10" s="7" t="s">
        <v>180</v>
      </c>
    </row>
    <row r="11" spans="1:10" x14ac:dyDescent="0.4">
      <c r="A11" s="7" t="s">
        <v>49</v>
      </c>
      <c r="B11" s="7" t="s">
        <v>16</v>
      </c>
      <c r="D11" s="8" t="s">
        <v>116</v>
      </c>
      <c r="E11" s="8" t="s">
        <v>92</v>
      </c>
      <c r="F11" s="7" t="s">
        <v>177</v>
      </c>
      <c r="G11" s="7" t="s">
        <v>332</v>
      </c>
    </row>
    <row r="12" spans="1:10" x14ac:dyDescent="0.4">
      <c r="A12" s="7" t="s">
        <v>50</v>
      </c>
      <c r="B12" s="7" t="s">
        <v>17</v>
      </c>
      <c r="D12" s="8" t="s">
        <v>117</v>
      </c>
      <c r="E12" s="8" t="s">
        <v>93</v>
      </c>
      <c r="F12" s="7" t="s">
        <v>181</v>
      </c>
      <c r="G12" s="7" t="s">
        <v>333</v>
      </c>
    </row>
    <row r="13" spans="1:10" x14ac:dyDescent="0.4">
      <c r="A13" s="7" t="s">
        <v>51</v>
      </c>
      <c r="B13" s="7" t="s">
        <v>18</v>
      </c>
      <c r="D13" s="8" t="s">
        <v>138</v>
      </c>
      <c r="E13" s="8" t="s">
        <v>137</v>
      </c>
      <c r="F13" s="6" t="s">
        <v>182</v>
      </c>
      <c r="G13" s="6" t="s">
        <v>348</v>
      </c>
    </row>
    <row r="14" spans="1:10" x14ac:dyDescent="0.4">
      <c r="A14" s="7" t="s">
        <v>52</v>
      </c>
      <c r="B14" s="7" t="s">
        <v>19</v>
      </c>
      <c r="D14" s="8" t="s">
        <v>118</v>
      </c>
      <c r="E14" s="8" t="s">
        <v>192</v>
      </c>
      <c r="F14" s="7" t="s">
        <v>351</v>
      </c>
      <c r="G14" s="7" t="s">
        <v>352</v>
      </c>
    </row>
    <row r="15" spans="1:10" x14ac:dyDescent="0.4">
      <c r="A15" s="7" t="s">
        <v>53</v>
      </c>
      <c r="B15" s="7" t="s">
        <v>21</v>
      </c>
      <c r="D15" s="8" t="s">
        <v>119</v>
      </c>
      <c r="E15" s="8" t="s">
        <v>94</v>
      </c>
      <c r="F15" s="7" t="s">
        <v>350</v>
      </c>
      <c r="G15" s="7" t="s">
        <v>354</v>
      </c>
    </row>
    <row r="16" spans="1:10" x14ac:dyDescent="0.4">
      <c r="A16" s="7" t="s">
        <v>54</v>
      </c>
      <c r="B16" s="7" t="s">
        <v>69</v>
      </c>
      <c r="D16" s="8" t="s">
        <v>120</v>
      </c>
      <c r="E16" s="8" t="s">
        <v>139</v>
      </c>
      <c r="F16" s="7" t="s">
        <v>349</v>
      </c>
      <c r="G16" s="7" t="s">
        <v>353</v>
      </c>
    </row>
    <row r="17" spans="1:7" x14ac:dyDescent="0.4">
      <c r="A17" s="7" t="s">
        <v>55</v>
      </c>
      <c r="B17" s="7" t="s">
        <v>22</v>
      </c>
      <c r="D17" s="8" t="s">
        <v>121</v>
      </c>
      <c r="E17" s="8" t="s">
        <v>140</v>
      </c>
      <c r="F17" s="7" t="s">
        <v>184</v>
      </c>
      <c r="G17" s="7" t="s">
        <v>355</v>
      </c>
    </row>
    <row r="18" spans="1:7" x14ac:dyDescent="0.4">
      <c r="A18" s="7" t="s">
        <v>56</v>
      </c>
      <c r="B18" s="7" t="s">
        <v>23</v>
      </c>
      <c r="D18" s="8" t="s">
        <v>122</v>
      </c>
      <c r="E18" s="8" t="s">
        <v>141</v>
      </c>
      <c r="F18" s="7" t="s">
        <v>183</v>
      </c>
      <c r="G18" s="7" t="s">
        <v>356</v>
      </c>
    </row>
    <row r="19" spans="1:7" x14ac:dyDescent="0.4">
      <c r="A19" s="7" t="s">
        <v>57</v>
      </c>
      <c r="B19" s="7" t="s">
        <v>24</v>
      </c>
      <c r="D19" s="8" t="s">
        <v>123</v>
      </c>
      <c r="E19" s="8" t="s">
        <v>95</v>
      </c>
      <c r="F19" s="6" t="s">
        <v>229</v>
      </c>
      <c r="G19" s="6" t="s">
        <v>334</v>
      </c>
    </row>
    <row r="20" spans="1:7" x14ac:dyDescent="0.4">
      <c r="A20" s="7" t="s">
        <v>58</v>
      </c>
      <c r="B20" s="7" t="s">
        <v>25</v>
      </c>
      <c r="D20" s="8" t="s">
        <v>124</v>
      </c>
      <c r="E20" s="8" t="s">
        <v>96</v>
      </c>
      <c r="F20" s="7" t="s">
        <v>322</v>
      </c>
      <c r="G20" s="7" t="s">
        <v>335</v>
      </c>
    </row>
    <row r="21" spans="1:7" x14ac:dyDescent="0.4">
      <c r="A21" s="7" t="s">
        <v>59</v>
      </c>
      <c r="B21" s="7" t="s">
        <v>26</v>
      </c>
      <c r="D21" s="8" t="s">
        <v>125</v>
      </c>
      <c r="E21" s="8" t="s">
        <v>105</v>
      </c>
      <c r="F21" s="7" t="s">
        <v>264</v>
      </c>
      <c r="G21" s="7" t="s">
        <v>336</v>
      </c>
    </row>
    <row r="22" spans="1:7" x14ac:dyDescent="0.4">
      <c r="A22" s="7" t="s">
        <v>60</v>
      </c>
      <c r="B22" s="7" t="s">
        <v>27</v>
      </c>
      <c r="D22" s="8" t="s">
        <v>126</v>
      </c>
      <c r="E22" s="8" t="s">
        <v>142</v>
      </c>
      <c r="F22" s="7" t="s">
        <v>286</v>
      </c>
      <c r="G22" s="7" t="s">
        <v>337</v>
      </c>
    </row>
    <row r="23" spans="1:7" x14ac:dyDescent="0.4">
      <c r="A23" s="7" t="s">
        <v>61</v>
      </c>
      <c r="B23" s="7" t="s">
        <v>28</v>
      </c>
      <c r="D23" s="8" t="s">
        <v>127</v>
      </c>
      <c r="E23" s="8" t="s">
        <v>143</v>
      </c>
      <c r="F23" s="7" t="s">
        <v>323</v>
      </c>
      <c r="G23" s="7" t="s">
        <v>338</v>
      </c>
    </row>
    <row r="24" spans="1:7" x14ac:dyDescent="0.4">
      <c r="A24" s="7" t="s">
        <v>62</v>
      </c>
      <c r="B24" s="7" t="s">
        <v>29</v>
      </c>
      <c r="D24" s="8" t="s">
        <v>144</v>
      </c>
      <c r="E24" s="8" t="s">
        <v>106</v>
      </c>
      <c r="F24" s="7" t="s">
        <v>324</v>
      </c>
      <c r="G24" s="7" t="s">
        <v>339</v>
      </c>
    </row>
    <row r="25" spans="1:7" x14ac:dyDescent="0.4">
      <c r="A25" s="7" t="s">
        <v>63</v>
      </c>
      <c r="B25" s="7" t="s">
        <v>30</v>
      </c>
      <c r="D25" s="8" t="s">
        <v>128</v>
      </c>
      <c r="E25" s="8" t="s">
        <v>97</v>
      </c>
      <c r="F25" s="7" t="s">
        <v>325</v>
      </c>
      <c r="G25" s="7" t="s">
        <v>341</v>
      </c>
    </row>
    <row r="26" spans="1:7" x14ac:dyDescent="0.4">
      <c r="A26" s="7" t="s">
        <v>64</v>
      </c>
      <c r="B26" s="7" t="s">
        <v>31</v>
      </c>
      <c r="D26" s="8" t="s">
        <v>129</v>
      </c>
      <c r="E26" s="8" t="s">
        <v>145</v>
      </c>
      <c r="F26" s="7" t="s">
        <v>309</v>
      </c>
      <c r="G26" s="7" t="s">
        <v>340</v>
      </c>
    </row>
    <row r="27" spans="1:7" x14ac:dyDescent="0.4">
      <c r="A27" s="7" t="s">
        <v>65</v>
      </c>
      <c r="B27" s="7" t="s">
        <v>20</v>
      </c>
      <c r="D27" s="8" t="s">
        <v>130</v>
      </c>
      <c r="E27" s="8" t="s">
        <v>107</v>
      </c>
      <c r="F27" s="6" t="s">
        <v>231</v>
      </c>
      <c r="G27" s="6" t="s">
        <v>347</v>
      </c>
    </row>
    <row r="28" spans="1:7" x14ac:dyDescent="0.4">
      <c r="A28" s="7" t="s">
        <v>66</v>
      </c>
      <c r="B28" s="7" t="s">
        <v>32</v>
      </c>
      <c r="D28" s="8" t="s">
        <v>131</v>
      </c>
      <c r="E28" s="8" t="s">
        <v>98</v>
      </c>
      <c r="F28" s="7" t="s">
        <v>344</v>
      </c>
      <c r="G28" s="7" t="s">
        <v>345</v>
      </c>
    </row>
    <row r="29" spans="1:7" x14ac:dyDescent="0.4">
      <c r="A29" s="7" t="s">
        <v>67</v>
      </c>
      <c r="B29" s="7" t="s">
        <v>33</v>
      </c>
      <c r="D29" s="8" t="s">
        <v>132</v>
      </c>
      <c r="E29" s="8" t="s">
        <v>99</v>
      </c>
      <c r="F29" s="7" t="s">
        <v>287</v>
      </c>
      <c r="G29" s="7" t="s">
        <v>346</v>
      </c>
    </row>
    <row r="30" spans="1:7" x14ac:dyDescent="0.4">
      <c r="A30" s="7" t="s">
        <v>73</v>
      </c>
      <c r="B30" s="7" t="s">
        <v>68</v>
      </c>
      <c r="D30" s="8" t="s">
        <v>133</v>
      </c>
      <c r="E30" s="8" t="s">
        <v>100</v>
      </c>
    </row>
    <row r="31" spans="1:7" x14ac:dyDescent="0.4">
      <c r="A31" s="7" t="s">
        <v>74</v>
      </c>
      <c r="B31" s="7" t="s">
        <v>70</v>
      </c>
      <c r="D31" s="8" t="s">
        <v>134</v>
      </c>
      <c r="E31" s="8" t="s">
        <v>101</v>
      </c>
    </row>
    <row r="32" spans="1:7" x14ac:dyDescent="0.4">
      <c r="A32" s="7" t="s">
        <v>75</v>
      </c>
      <c r="B32" s="7" t="s">
        <v>71</v>
      </c>
      <c r="D32" s="8" t="s">
        <v>135</v>
      </c>
      <c r="E32" s="8" t="s">
        <v>102</v>
      </c>
    </row>
    <row r="33" spans="1:5" x14ac:dyDescent="0.4">
      <c r="A33" s="7" t="s">
        <v>76</v>
      </c>
      <c r="B33" s="7" t="s">
        <v>72</v>
      </c>
      <c r="D33" s="8" t="s">
        <v>136</v>
      </c>
      <c r="E33" s="8" t="s">
        <v>103</v>
      </c>
    </row>
    <row r="34" spans="1:5" x14ac:dyDescent="0.4">
      <c r="A34" s="7" t="s">
        <v>77</v>
      </c>
      <c r="B34" s="7" t="s">
        <v>34</v>
      </c>
    </row>
    <row r="35" spans="1:5" x14ac:dyDescent="0.4">
      <c r="A35" s="7" t="s">
        <v>78</v>
      </c>
      <c r="B35" s="7" t="s">
        <v>35</v>
      </c>
    </row>
    <row r="36" spans="1:5" x14ac:dyDescent="0.4">
      <c r="A36" s="7" t="s">
        <v>79</v>
      </c>
      <c r="B36" s="7" t="s">
        <v>36</v>
      </c>
    </row>
    <row r="37" spans="1:5" x14ac:dyDescent="0.4">
      <c r="A37" s="7" t="s">
        <v>80</v>
      </c>
      <c r="B37" s="7" t="s">
        <v>37</v>
      </c>
    </row>
    <row r="38" spans="1:5" x14ac:dyDescent="0.4">
      <c r="A38" s="7" t="s">
        <v>81</v>
      </c>
      <c r="B38" s="7" t="s">
        <v>38</v>
      </c>
    </row>
    <row r="39" spans="1:5" x14ac:dyDescent="0.4">
      <c r="A39" s="7" t="s">
        <v>82</v>
      </c>
      <c r="B39" s="7" t="s">
        <v>39</v>
      </c>
    </row>
    <row r="40" spans="1:5" x14ac:dyDescent="0.4">
      <c r="A40" s="7" t="s">
        <v>83</v>
      </c>
      <c r="B40" s="7" t="s">
        <v>40</v>
      </c>
    </row>
    <row r="41" spans="1:5" x14ac:dyDescent="0.4">
      <c r="A41" s="7" t="s">
        <v>84</v>
      </c>
      <c r="B41" s="7" t="s">
        <v>41</v>
      </c>
    </row>
    <row r="42" spans="1:5" x14ac:dyDescent="0.4">
      <c r="A42" s="7" t="s">
        <v>85</v>
      </c>
      <c r="B42" s="7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2020-04-01T17:08:56Z</dcterms:modified>
</cp:coreProperties>
</file>